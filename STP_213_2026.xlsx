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EXAMS_2026_FIRST_SEM\SCORESHEETS\"/>
    </mc:Choice>
  </mc:AlternateContent>
  <xr:revisionPtr revIDLastSave="0" documentId="13_ncr:1_{EB4244A6-F214-4B06-903A-A193C39F21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d2" sheetId="1" r:id="rId1"/>
    <sheet name="ND2 CO23" sheetId="7" r:id="rId2"/>
    <sheet name="nd2 co19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 a="1"/>
  <c r="G14" i="1" s="1"/>
  <c r="G15" i="1" a="1"/>
  <c r="G15" i="1" s="1"/>
  <c r="G16" i="1" a="1"/>
  <c r="G16" i="1" s="1"/>
  <c r="G17" i="1" a="1"/>
  <c r="G17" i="1"/>
  <c r="G18" i="1" a="1"/>
  <c r="G18" i="1" s="1"/>
  <c r="H18" i="1" s="1"/>
  <c r="G20" i="1" a="1"/>
  <c r="G20" i="1" s="1"/>
  <c r="G21" i="1" a="1"/>
  <c r="G21" i="1"/>
  <c r="H21" i="1" s="1"/>
  <c r="G22" i="1" a="1"/>
  <c r="G22" i="1" s="1"/>
  <c r="H22" i="1" s="1"/>
  <c r="G23" i="1" a="1"/>
  <c r="G23" i="1" s="1"/>
  <c r="G24" i="1" a="1"/>
  <c r="G24" i="1" s="1"/>
  <c r="G26" i="1" a="1"/>
  <c r="G26" i="1" s="1"/>
  <c r="G27" i="1" a="1"/>
  <c r="G27" i="1" s="1"/>
  <c r="G28" i="1" a="1"/>
  <c r="G28" i="1" s="1"/>
  <c r="G30" i="1" a="1"/>
  <c r="G30" i="1" s="1"/>
  <c r="G31" i="1" a="1"/>
  <c r="G31" i="1" s="1"/>
  <c r="G32" i="1" a="1"/>
  <c r="G32" i="1" s="1"/>
  <c r="G33" i="1" a="1"/>
  <c r="G33" i="1"/>
  <c r="G34" i="1" a="1"/>
  <c r="G34" i="1" s="1"/>
  <c r="G35" i="1" a="1"/>
  <c r="G35" i="1" s="1"/>
  <c r="G36" i="1" a="1"/>
  <c r="G36" i="1" s="1"/>
  <c r="G37" i="1" a="1"/>
  <c r="G37" i="1"/>
  <c r="G38" i="1" a="1"/>
  <c r="G38" i="1" s="1"/>
  <c r="G39" i="1" a="1"/>
  <c r="G39" i="1" s="1"/>
  <c r="G40" i="1" a="1"/>
  <c r="G40" i="1" s="1"/>
  <c r="G41" i="1" a="1"/>
  <c r="G41" i="1"/>
  <c r="G42" i="1" a="1"/>
  <c r="G42" i="1" s="1"/>
  <c r="G43" i="1" a="1"/>
  <c r="G43" i="1" s="1"/>
  <c r="G44" i="1" a="1"/>
  <c r="G44" i="1" s="1"/>
  <c r="G45" i="1" a="1"/>
  <c r="G45" i="1"/>
  <c r="G46" i="1" a="1"/>
  <c r="G46" i="1" s="1"/>
  <c r="G47" i="1" a="1"/>
  <c r="G47" i="1" s="1"/>
  <c r="G48" i="1" a="1"/>
  <c r="G48" i="1" s="1"/>
  <c r="G49" i="1" a="1"/>
  <c r="G49" i="1"/>
  <c r="G50" i="1" a="1"/>
  <c r="G50" i="1" s="1"/>
  <c r="G51" i="1" a="1"/>
  <c r="G51" i="1" s="1"/>
  <c r="G52" i="1" a="1"/>
  <c r="G52" i="1" s="1"/>
  <c r="G54" i="1" a="1"/>
  <c r="G54" i="1" s="1"/>
  <c r="G55" i="1" a="1"/>
  <c r="G55" i="1" s="1"/>
  <c r="G57" i="1" a="1"/>
  <c r="G57" i="1"/>
  <c r="G58" i="1" a="1"/>
  <c r="G58" i="1" s="1"/>
  <c r="G59" i="1" a="1"/>
  <c r="G59" i="1" s="1"/>
  <c r="G60" i="1" a="1"/>
  <c r="G60" i="1" s="1"/>
  <c r="G61" i="1" a="1"/>
  <c r="G61" i="1"/>
  <c r="G62" i="1" a="1"/>
  <c r="G62" i="1" s="1"/>
  <c r="G63" i="1" a="1"/>
  <c r="G63" i="1" s="1"/>
  <c r="G64" i="1" a="1"/>
  <c r="G64" i="1" s="1"/>
  <c r="G65" i="1" a="1"/>
  <c r="G65" i="1"/>
  <c r="G66" i="1" a="1"/>
  <c r="G66" i="1" s="1"/>
  <c r="G67" i="1" a="1"/>
  <c r="G67" i="1" s="1"/>
  <c r="G68" i="1" a="1"/>
  <c r="G68" i="1" s="1"/>
  <c r="G69" i="1" a="1"/>
  <c r="G69" i="1"/>
  <c r="G70" i="1" a="1"/>
  <c r="G70" i="1" s="1"/>
  <c r="G71" i="1" a="1"/>
  <c r="G71" i="1" s="1"/>
  <c r="G72" i="1" a="1"/>
  <c r="G72" i="1" s="1"/>
  <c r="G73" i="1" a="1"/>
  <c r="G73" i="1"/>
  <c r="G74" i="1" a="1"/>
  <c r="G74" i="1" s="1"/>
  <c r="G75" i="1" a="1"/>
  <c r="G75" i="1" s="1"/>
  <c r="G76" i="1" a="1"/>
  <c r="G76" i="1" s="1"/>
  <c r="G77" i="1" a="1"/>
  <c r="G77" i="1"/>
  <c r="G78" i="1" a="1"/>
  <c r="G78" i="1" s="1"/>
  <c r="G79" i="1" a="1"/>
  <c r="G79" i="1" s="1"/>
  <c r="G80" i="1" a="1"/>
  <c r="G80" i="1" s="1"/>
  <c r="H80" i="1" s="1"/>
  <c r="G81" i="1" a="1"/>
  <c r="G81" i="1"/>
  <c r="G83" i="1" a="1"/>
  <c r="G83" i="1" s="1"/>
  <c r="G84" i="1" a="1"/>
  <c r="G84" i="1" s="1"/>
  <c r="G85" i="1" a="1"/>
  <c r="G85" i="1"/>
  <c r="G87" i="1" a="1"/>
  <c r="G87" i="1" s="1"/>
  <c r="G88" i="1" a="1"/>
  <c r="G88" i="1" s="1"/>
  <c r="H88" i="1" s="1"/>
  <c r="G89" i="1" a="1"/>
  <c r="G89" i="1"/>
  <c r="G90" i="1" a="1"/>
  <c r="G90" i="1" s="1"/>
  <c r="G91" i="1" a="1"/>
  <c r="G91" i="1" s="1"/>
  <c r="G92" i="1" a="1"/>
  <c r="G92" i="1" s="1"/>
  <c r="G93" i="1" a="1"/>
  <c r="G93" i="1"/>
  <c r="G94" i="1" a="1"/>
  <c r="G94" i="1" s="1"/>
  <c r="G95" i="1" a="1"/>
  <c r="G95" i="1" s="1"/>
  <c r="G97" i="1" a="1"/>
  <c r="G97" i="1"/>
  <c r="G99" i="1" a="1"/>
  <c r="G99" i="1" s="1"/>
  <c r="G100" i="1" a="1"/>
  <c r="G100" i="1" s="1"/>
  <c r="G101" i="1" a="1"/>
  <c r="G101" i="1"/>
  <c r="G102" i="1" a="1"/>
  <c r="G102" i="1" s="1"/>
  <c r="G103" i="1" a="1"/>
  <c r="G103" i="1" s="1"/>
  <c r="G104" i="1" a="1"/>
  <c r="G104" i="1" s="1"/>
  <c r="G105" i="1" a="1"/>
  <c r="G105" i="1"/>
  <c r="G106" i="1" a="1"/>
  <c r="G106" i="1" s="1"/>
  <c r="G107" i="1" a="1"/>
  <c r="G107" i="1" s="1"/>
  <c r="G108" i="1" a="1"/>
  <c r="G108" i="1" s="1"/>
  <c r="G109" i="1" a="1"/>
  <c r="G109" i="1"/>
  <c r="G110" i="1" a="1"/>
  <c r="G110" i="1" s="1"/>
  <c r="G111" i="1" a="1"/>
  <c r="G111" i="1" s="1"/>
  <c r="G112" i="1" a="1"/>
  <c r="G112" i="1" s="1"/>
  <c r="G113" i="1" a="1"/>
  <c r="G113" i="1"/>
  <c r="G114" i="1" a="1"/>
  <c r="G114" i="1" s="1"/>
  <c r="G116" i="1" a="1"/>
  <c r="G116" i="1" s="1"/>
  <c r="G117" i="1" a="1"/>
  <c r="G117" i="1"/>
  <c r="G118" i="1" a="1"/>
  <c r="G118" i="1" s="1"/>
  <c r="G119" i="1" a="1"/>
  <c r="G119" i="1" s="1"/>
  <c r="G120" i="1" a="1"/>
  <c r="G120" i="1" s="1"/>
  <c r="G121" i="1" a="1"/>
  <c r="G121" i="1"/>
  <c r="G122" i="1" a="1"/>
  <c r="G122" i="1" s="1"/>
  <c r="G123" i="1" a="1"/>
  <c r="G123" i="1" s="1"/>
  <c r="G124" i="1" a="1"/>
  <c r="G124" i="1" s="1"/>
  <c r="G125" i="1" a="1"/>
  <c r="G125" i="1"/>
  <c r="G126" i="1" a="1"/>
  <c r="G126" i="1" s="1"/>
  <c r="G127" i="1" a="1"/>
  <c r="G127" i="1" s="1"/>
  <c r="G128" i="1" a="1"/>
  <c r="G128" i="1" s="1"/>
  <c r="G129" i="1" a="1"/>
  <c r="G129" i="1"/>
  <c r="G130" i="1" a="1"/>
  <c r="G130" i="1" s="1"/>
  <c r="G131" i="1" a="1"/>
  <c r="G131" i="1" s="1"/>
  <c r="G132" i="1" a="1"/>
  <c r="G132" i="1" s="1"/>
  <c r="G133" i="1" a="1"/>
  <c r="G133" i="1"/>
  <c r="G134" i="1" a="1"/>
  <c r="G134" i="1" s="1"/>
  <c r="G135" i="1" a="1"/>
  <c r="G135" i="1" s="1"/>
  <c r="G136" i="1" a="1"/>
  <c r="G136" i="1" s="1"/>
  <c r="H136" i="1" s="1"/>
  <c r="G137" i="1" a="1"/>
  <c r="G137" i="1"/>
  <c r="G138" i="1" a="1"/>
  <c r="G138" i="1" s="1"/>
  <c r="G139" i="1" a="1"/>
  <c r="G139" i="1" s="1"/>
  <c r="G140" i="1" a="1"/>
  <c r="G140" i="1" s="1"/>
  <c r="G141" i="1" a="1"/>
  <c r="G141" i="1"/>
  <c r="G142" i="1" a="1"/>
  <c r="G142" i="1" s="1"/>
  <c r="G143" i="1" a="1"/>
  <c r="G143" i="1" s="1"/>
  <c r="G144" i="1" a="1"/>
  <c r="G144" i="1" s="1"/>
  <c r="G145" i="1" a="1"/>
  <c r="G145" i="1"/>
  <c r="G146" i="1" a="1"/>
  <c r="G146" i="1" s="1"/>
  <c r="G147" i="1" a="1"/>
  <c r="G147" i="1" s="1"/>
  <c r="G148" i="1" a="1"/>
  <c r="G148" i="1" s="1"/>
  <c r="G149" i="1" a="1"/>
  <c r="G149" i="1"/>
  <c r="G150" i="1" a="1"/>
  <c r="G150" i="1" s="1"/>
  <c r="G151" i="1" a="1"/>
  <c r="G151" i="1" s="1"/>
  <c r="G152" i="1" a="1"/>
  <c r="G152" i="1" s="1"/>
  <c r="G153" i="1" a="1"/>
  <c r="G153" i="1"/>
  <c r="G154" i="1" a="1"/>
  <c r="G154" i="1" s="1"/>
  <c r="G155" i="1" a="1"/>
  <c r="G155" i="1" s="1"/>
  <c r="G156" i="1" a="1"/>
  <c r="G156" i="1" s="1"/>
  <c r="G157" i="1" a="1"/>
  <c r="G157" i="1"/>
  <c r="G158" i="1" a="1"/>
  <c r="G158" i="1" s="1"/>
  <c r="G159" i="1" a="1"/>
  <c r="G159" i="1" s="1"/>
  <c r="G160" i="1" a="1"/>
  <c r="G160" i="1" s="1"/>
  <c r="G161" i="1" a="1"/>
  <c r="G161" i="1"/>
  <c r="G162" i="1" a="1"/>
  <c r="G162" i="1" s="1"/>
  <c r="G163" i="1" a="1"/>
  <c r="G163" i="1" s="1"/>
  <c r="G164" i="1" a="1"/>
  <c r="G164" i="1" s="1"/>
  <c r="G165" i="1" a="1"/>
  <c r="G165" i="1"/>
  <c r="G166" i="1" a="1"/>
  <c r="G166" i="1" s="1"/>
  <c r="G167" i="1" a="1"/>
  <c r="G167" i="1" s="1"/>
  <c r="G168" i="1" a="1"/>
  <c r="G168" i="1" s="1"/>
  <c r="G169" i="1" a="1"/>
  <c r="G169" i="1"/>
  <c r="G170" i="1" a="1"/>
  <c r="G170" i="1" s="1"/>
  <c r="G171" i="1" a="1"/>
  <c r="G171" i="1" s="1"/>
  <c r="G172" i="1" a="1"/>
  <c r="G172" i="1" s="1"/>
  <c r="G173" i="1" a="1"/>
  <c r="G173" i="1"/>
  <c r="G174" i="1" a="1"/>
  <c r="G174" i="1" s="1"/>
  <c r="G175" i="1" a="1"/>
  <c r="G175" i="1" s="1"/>
  <c r="G176" i="1" a="1"/>
  <c r="G176" i="1" s="1"/>
  <c r="G177" i="1" a="1"/>
  <c r="G177" i="1"/>
  <c r="G178" i="1" a="1"/>
  <c r="G178" i="1" s="1"/>
  <c r="G179" i="1" a="1"/>
  <c r="G179" i="1" s="1"/>
  <c r="G180" i="1" a="1"/>
  <c r="G180" i="1" s="1"/>
  <c r="G182" i="1" a="1"/>
  <c r="G182" i="1" s="1"/>
  <c r="G183" i="1" a="1"/>
  <c r="G183" i="1" s="1"/>
  <c r="G184" i="1" a="1"/>
  <c r="G184" i="1" s="1"/>
  <c r="G185" i="1" a="1"/>
  <c r="G185" i="1"/>
  <c r="G186" i="1" a="1"/>
  <c r="G186" i="1" s="1"/>
  <c r="G187" i="1" a="1"/>
  <c r="G187" i="1" s="1"/>
  <c r="G188" i="1" a="1"/>
  <c r="G188" i="1" s="1"/>
  <c r="G190" i="1" a="1"/>
  <c r="G190" i="1" s="1"/>
  <c r="G191" i="1" a="1"/>
  <c r="G191" i="1" s="1"/>
  <c r="G192" i="1" a="1"/>
  <c r="G192" i="1" s="1"/>
  <c r="G195" i="1" a="1"/>
  <c r="G195" i="1" s="1"/>
  <c r="G196" i="1" a="1"/>
  <c r="G196" i="1" s="1"/>
  <c r="G197" i="1" a="1"/>
  <c r="G197" i="1"/>
  <c r="G198" i="1" a="1"/>
  <c r="G198" i="1" s="1"/>
  <c r="G199" i="1" a="1"/>
  <c r="G199" i="1" s="1"/>
  <c r="G200" i="1" a="1"/>
  <c r="G200" i="1" s="1"/>
  <c r="G201" i="1" a="1"/>
  <c r="G201" i="1"/>
  <c r="G203" i="1" a="1"/>
  <c r="G203" i="1" s="1"/>
  <c r="G204" i="1" a="1"/>
  <c r="G204" i="1" s="1"/>
  <c r="G205" i="1" a="1"/>
  <c r="G205" i="1"/>
  <c r="G13" i="1" a="1"/>
  <c r="G13" i="1"/>
  <c r="H13" i="1" s="1"/>
  <c r="F13" i="1" a="1"/>
  <c r="F13" i="1"/>
  <c r="F14" i="1" a="1"/>
  <c r="F14" i="1"/>
  <c r="F15" i="1" a="1"/>
  <c r="F15" i="1" s="1"/>
  <c r="F16" i="1" a="1"/>
  <c r="F16" i="1"/>
  <c r="F17" i="1" a="1"/>
  <c r="F17" i="1"/>
  <c r="F18" i="1" a="1"/>
  <c r="F18" i="1"/>
  <c r="F19" i="1" a="1"/>
  <c r="F19" i="1" s="1"/>
  <c r="F20" i="1" a="1"/>
  <c r="F20" i="1"/>
  <c r="F21" i="1" a="1"/>
  <c r="F21" i="1"/>
  <c r="F22" i="1" a="1"/>
  <c r="F22" i="1"/>
  <c r="F23" i="1" a="1"/>
  <c r="F23" i="1" s="1"/>
  <c r="F24" i="1" a="1"/>
  <c r="F24" i="1"/>
  <c r="F25" i="1" a="1"/>
  <c r="F25" i="1" s="1"/>
  <c r="F26" i="1" a="1"/>
  <c r="F26" i="1"/>
  <c r="F27" i="1" a="1"/>
  <c r="F27" i="1" s="1"/>
  <c r="F28" i="1" a="1"/>
  <c r="F28" i="1"/>
  <c r="F29" i="1" a="1"/>
  <c r="F29" i="1" s="1"/>
  <c r="F30" i="1" a="1"/>
  <c r="F30" i="1"/>
  <c r="F31" i="1" a="1"/>
  <c r="F31" i="1" s="1"/>
  <c r="F32" i="1" a="1"/>
  <c r="F32" i="1"/>
  <c r="F33" i="1" a="1"/>
  <c r="F33" i="1" s="1"/>
  <c r="F34" i="1" a="1"/>
  <c r="F34" i="1"/>
  <c r="F35" i="1" a="1"/>
  <c r="F35" i="1" s="1"/>
  <c r="F36" i="1" a="1"/>
  <c r="F36" i="1"/>
  <c r="F37" i="1" a="1"/>
  <c r="F37" i="1" s="1"/>
  <c r="F38" i="1" a="1"/>
  <c r="F38" i="1" s="1"/>
  <c r="F39" i="1" a="1"/>
  <c r="F39" i="1" s="1"/>
  <c r="F40" i="1" a="1"/>
  <c r="F40" i="1"/>
  <c r="F41" i="1" a="1"/>
  <c r="F41" i="1" s="1"/>
  <c r="F42" i="1" a="1"/>
  <c r="F42" i="1" s="1"/>
  <c r="F43" i="1" a="1"/>
  <c r="F43" i="1" s="1"/>
  <c r="F44" i="1" a="1"/>
  <c r="F44" i="1"/>
  <c r="F45" i="1" a="1"/>
  <c r="F45" i="1" s="1"/>
  <c r="F46" i="1" a="1"/>
  <c r="F46" i="1" s="1"/>
  <c r="F47" i="1" a="1"/>
  <c r="F47" i="1" s="1"/>
  <c r="F48" i="1" a="1"/>
  <c r="F48" i="1"/>
  <c r="F49" i="1" a="1"/>
  <c r="F49" i="1" s="1"/>
  <c r="F50" i="1" a="1"/>
  <c r="F50" i="1" s="1"/>
  <c r="F51" i="1" a="1"/>
  <c r="F51" i="1" s="1"/>
  <c r="F52" i="1" a="1"/>
  <c r="F52" i="1"/>
  <c r="F53" i="1" a="1"/>
  <c r="F53" i="1" s="1"/>
  <c r="F54" i="1" a="1"/>
  <c r="F54" i="1" s="1"/>
  <c r="F55" i="1" a="1"/>
  <c r="F55" i="1" s="1"/>
  <c r="F56" i="1" a="1"/>
  <c r="F56" i="1"/>
  <c r="F57" i="1" a="1"/>
  <c r="F57" i="1" s="1"/>
  <c r="F58" i="1" a="1"/>
  <c r="F58" i="1" s="1"/>
  <c r="F59" i="1" a="1"/>
  <c r="F59" i="1" s="1"/>
  <c r="F60" i="1" a="1"/>
  <c r="F60" i="1"/>
  <c r="F61" i="1" a="1"/>
  <c r="F61" i="1" s="1"/>
  <c r="F62" i="1" a="1"/>
  <c r="F62" i="1" s="1"/>
  <c r="F63" i="1" a="1"/>
  <c r="F63" i="1" s="1"/>
  <c r="F64" i="1" a="1"/>
  <c r="F64" i="1"/>
  <c r="F65" i="1" a="1"/>
  <c r="F65" i="1" s="1"/>
  <c r="F66" i="1" a="1"/>
  <c r="F66" i="1" s="1"/>
  <c r="F67" i="1" a="1"/>
  <c r="F67" i="1" s="1"/>
  <c r="F68" i="1" a="1"/>
  <c r="F68" i="1"/>
  <c r="F69" i="1" a="1"/>
  <c r="F69" i="1" s="1"/>
  <c r="F70" i="1" a="1"/>
  <c r="F70" i="1" s="1"/>
  <c r="F71" i="1" a="1"/>
  <c r="F71" i="1" s="1"/>
  <c r="F72" i="1" a="1"/>
  <c r="F72" i="1"/>
  <c r="F73" i="1" a="1"/>
  <c r="F73" i="1" s="1"/>
  <c r="F74" i="1" a="1"/>
  <c r="F74" i="1" s="1"/>
  <c r="F75" i="1" a="1"/>
  <c r="F75" i="1" s="1"/>
  <c r="F76" i="1" a="1"/>
  <c r="F76" i="1"/>
  <c r="F77" i="1" a="1"/>
  <c r="F77" i="1" s="1"/>
  <c r="F78" i="1" a="1"/>
  <c r="F78" i="1" s="1"/>
  <c r="F79" i="1" a="1"/>
  <c r="F79" i="1" s="1"/>
  <c r="F80" i="1" a="1"/>
  <c r="F80" i="1"/>
  <c r="F81" i="1" a="1"/>
  <c r="F81" i="1" s="1"/>
  <c r="F82" i="1" a="1"/>
  <c r="F82" i="1" s="1"/>
  <c r="F83" i="1" a="1"/>
  <c r="F83" i="1" s="1"/>
  <c r="F84" i="1" a="1"/>
  <c r="F84" i="1"/>
  <c r="F85" i="1" a="1"/>
  <c r="F85" i="1" s="1"/>
  <c r="F86" i="1" a="1"/>
  <c r="F86" i="1" s="1"/>
  <c r="F87" i="1" a="1"/>
  <c r="F87" i="1" s="1"/>
  <c r="F88" i="1" a="1"/>
  <c r="F88" i="1"/>
  <c r="F89" i="1" a="1"/>
  <c r="F89" i="1" s="1"/>
  <c r="F90" i="1" a="1"/>
  <c r="F90" i="1" s="1"/>
  <c r="F91" i="1" a="1"/>
  <c r="F91" i="1" s="1"/>
  <c r="F92" i="1" a="1"/>
  <c r="F92" i="1"/>
  <c r="F93" i="1" a="1"/>
  <c r="F93" i="1" s="1"/>
  <c r="F94" i="1" a="1"/>
  <c r="F94" i="1" s="1"/>
  <c r="F95" i="1" a="1"/>
  <c r="F95" i="1" s="1"/>
  <c r="F96" i="1" a="1"/>
  <c r="F96" i="1"/>
  <c r="F97" i="1" a="1"/>
  <c r="F97" i="1" s="1"/>
  <c r="F98" i="1" a="1"/>
  <c r="F98" i="1" s="1"/>
  <c r="F99" i="1" a="1"/>
  <c r="F99" i="1" s="1"/>
  <c r="F100" i="1" a="1"/>
  <c r="F100" i="1"/>
  <c r="F101" i="1" a="1"/>
  <c r="F101" i="1" s="1"/>
  <c r="F102" i="1" a="1"/>
  <c r="F102" i="1" s="1"/>
  <c r="F103" i="1" a="1"/>
  <c r="F103" i="1" s="1"/>
  <c r="F104" i="1" a="1"/>
  <c r="F104" i="1"/>
  <c r="F105" i="1" a="1"/>
  <c r="F105" i="1" s="1"/>
  <c r="F106" i="1" a="1"/>
  <c r="F106" i="1" s="1"/>
  <c r="F107" i="1" a="1"/>
  <c r="F107" i="1" s="1"/>
  <c r="F108" i="1" a="1"/>
  <c r="F108" i="1"/>
  <c r="F109" i="1" a="1"/>
  <c r="F109" i="1" s="1"/>
  <c r="F110" i="1" a="1"/>
  <c r="F110" i="1" s="1"/>
  <c r="F111" i="1" a="1"/>
  <c r="F111" i="1" s="1"/>
  <c r="F112" i="1" a="1"/>
  <c r="F112" i="1"/>
  <c r="F113" i="1" a="1"/>
  <c r="F113" i="1" s="1"/>
  <c r="F114" i="1" a="1"/>
  <c r="F114" i="1" s="1"/>
  <c r="F115" i="1" a="1"/>
  <c r="F115" i="1" s="1"/>
  <c r="F116" i="1" a="1"/>
  <c r="F116" i="1"/>
  <c r="F117" i="1" a="1"/>
  <c r="F117" i="1" s="1"/>
  <c r="F118" i="1" a="1"/>
  <c r="F118" i="1" s="1"/>
  <c r="F119" i="1" a="1"/>
  <c r="F119" i="1" s="1"/>
  <c r="F120" i="1" a="1"/>
  <c r="F120" i="1"/>
  <c r="F121" i="1" a="1"/>
  <c r="F121" i="1" s="1"/>
  <c r="F122" i="1" a="1"/>
  <c r="F122" i="1" s="1"/>
  <c r="F123" i="1" a="1"/>
  <c r="F123" i="1" s="1"/>
  <c r="F124" i="1" a="1"/>
  <c r="F124" i="1"/>
  <c r="F125" i="1" a="1"/>
  <c r="F125" i="1" s="1"/>
  <c r="F126" i="1" a="1"/>
  <c r="F126" i="1" s="1"/>
  <c r="F127" i="1" a="1"/>
  <c r="F127" i="1" s="1"/>
  <c r="F128" i="1" a="1"/>
  <c r="F128" i="1"/>
  <c r="F129" i="1" a="1"/>
  <c r="F129" i="1" s="1"/>
  <c r="F130" i="1" a="1"/>
  <c r="F130" i="1" s="1"/>
  <c r="F131" i="1" a="1"/>
  <c r="F131" i="1" s="1"/>
  <c r="F132" i="1" a="1"/>
  <c r="F132" i="1"/>
  <c r="F133" i="1" a="1"/>
  <c r="F133" i="1" s="1"/>
  <c r="F134" i="1" a="1"/>
  <c r="F134" i="1" s="1"/>
  <c r="F135" i="1" a="1"/>
  <c r="F135" i="1" s="1"/>
  <c r="F136" i="1" a="1"/>
  <c r="F136" i="1"/>
  <c r="F137" i="1" a="1"/>
  <c r="F137" i="1" s="1"/>
  <c r="F138" i="1" a="1"/>
  <c r="F138" i="1" s="1"/>
  <c r="F139" i="1" a="1"/>
  <c r="F139" i="1" s="1"/>
  <c r="F140" i="1" a="1"/>
  <c r="F140" i="1"/>
  <c r="F141" i="1" a="1"/>
  <c r="F141" i="1" s="1"/>
  <c r="F142" i="1" a="1"/>
  <c r="F142" i="1" s="1"/>
  <c r="F143" i="1" a="1"/>
  <c r="F143" i="1" s="1"/>
  <c r="F144" i="1" a="1"/>
  <c r="F144" i="1"/>
  <c r="F145" i="1" a="1"/>
  <c r="F145" i="1" s="1"/>
  <c r="F146" i="1" a="1"/>
  <c r="F146" i="1" s="1"/>
  <c r="F147" i="1" a="1"/>
  <c r="F147" i="1" s="1"/>
  <c r="F148" i="1" a="1"/>
  <c r="F148" i="1"/>
  <c r="F149" i="1" a="1"/>
  <c r="F149" i="1" s="1"/>
  <c r="F150" i="1" a="1"/>
  <c r="F150" i="1" s="1"/>
  <c r="F151" i="1" a="1"/>
  <c r="F151" i="1" s="1"/>
  <c r="F152" i="1" a="1"/>
  <c r="F152" i="1"/>
  <c r="F153" i="1" a="1"/>
  <c r="F153" i="1" s="1"/>
  <c r="F154" i="1" a="1"/>
  <c r="F154" i="1" s="1"/>
  <c r="F155" i="1" a="1"/>
  <c r="F155" i="1" s="1"/>
  <c r="F156" i="1" a="1"/>
  <c r="F156" i="1"/>
  <c r="F157" i="1" a="1"/>
  <c r="F157" i="1" s="1"/>
  <c r="F158" i="1" a="1"/>
  <c r="F158" i="1" s="1"/>
  <c r="F159" i="1" a="1"/>
  <c r="F159" i="1" s="1"/>
  <c r="F160" i="1" a="1"/>
  <c r="F160" i="1"/>
  <c r="F161" i="1" a="1"/>
  <c r="F161" i="1" s="1"/>
  <c r="F162" i="1" a="1"/>
  <c r="F162" i="1" s="1"/>
  <c r="F163" i="1" a="1"/>
  <c r="F163" i="1" s="1"/>
  <c r="F164" i="1" a="1"/>
  <c r="F164" i="1"/>
  <c r="F165" i="1" a="1"/>
  <c r="F165" i="1" s="1"/>
  <c r="F166" i="1" a="1"/>
  <c r="F166" i="1" s="1"/>
  <c r="F167" i="1" a="1"/>
  <c r="F167" i="1" s="1"/>
  <c r="F168" i="1" a="1"/>
  <c r="F168" i="1"/>
  <c r="F169" i="1" a="1"/>
  <c r="F169" i="1" s="1"/>
  <c r="F170" i="1" a="1"/>
  <c r="F170" i="1" s="1"/>
  <c r="F171" i="1" a="1"/>
  <c r="F171" i="1" s="1"/>
  <c r="F172" i="1" a="1"/>
  <c r="F172" i="1"/>
  <c r="F173" i="1" a="1"/>
  <c r="F173" i="1" s="1"/>
  <c r="F174" i="1" a="1"/>
  <c r="F174" i="1" s="1"/>
  <c r="F175" i="1" a="1"/>
  <c r="F175" i="1" s="1"/>
  <c r="F176" i="1" a="1"/>
  <c r="F176" i="1"/>
  <c r="F177" i="1" a="1"/>
  <c r="F177" i="1" s="1"/>
  <c r="F178" i="1" a="1"/>
  <c r="F178" i="1" s="1"/>
  <c r="F179" i="1" a="1"/>
  <c r="F179" i="1" s="1"/>
  <c r="F180" i="1" a="1"/>
  <c r="F180" i="1"/>
  <c r="F181" i="1" a="1"/>
  <c r="F181" i="1" s="1"/>
  <c r="F182" i="1" a="1"/>
  <c r="F182" i="1" s="1"/>
  <c r="F183" i="1" a="1"/>
  <c r="F183" i="1" s="1"/>
  <c r="F184" i="1" a="1"/>
  <c r="F184" i="1"/>
  <c r="F185" i="1" a="1"/>
  <c r="F185" i="1" s="1"/>
  <c r="F186" i="1" a="1"/>
  <c r="F186" i="1" s="1"/>
  <c r="F187" i="1" a="1"/>
  <c r="F187" i="1" s="1"/>
  <c r="F188" i="1" a="1"/>
  <c r="F188" i="1"/>
  <c r="F189" i="1" a="1"/>
  <c r="F189" i="1" s="1"/>
  <c r="F190" i="1" a="1"/>
  <c r="F190" i="1" s="1"/>
  <c r="F191" i="1" a="1"/>
  <c r="F191" i="1" s="1"/>
  <c r="F192" i="1" a="1"/>
  <c r="F192" i="1"/>
  <c r="F193" i="1" a="1"/>
  <c r="F193" i="1" s="1"/>
  <c r="F194" i="1" a="1"/>
  <c r="F194" i="1" s="1"/>
  <c r="F195" i="1" a="1"/>
  <c r="F195" i="1" s="1"/>
  <c r="F196" i="1" a="1"/>
  <c r="F196" i="1"/>
  <c r="F197" i="1" a="1"/>
  <c r="F197" i="1" s="1"/>
  <c r="F198" i="1" a="1"/>
  <c r="F198" i="1" s="1"/>
  <c r="F199" i="1" a="1"/>
  <c r="F199" i="1" s="1"/>
  <c r="F200" i="1" a="1"/>
  <c r="F200" i="1"/>
  <c r="F201" i="1" a="1"/>
  <c r="F201" i="1" s="1"/>
  <c r="F202" i="1" a="1"/>
  <c r="F202" i="1" s="1"/>
  <c r="F203" i="1" a="1"/>
  <c r="F203" i="1" s="1"/>
  <c r="F204" i="1" a="1"/>
  <c r="F204" i="1"/>
  <c r="F205" i="1" a="1"/>
  <c r="F205" i="1" s="1"/>
  <c r="F12" i="1" a="1"/>
  <c r="F12" i="1" s="1"/>
  <c r="H13" i="7"/>
  <c r="H14" i="7"/>
  <c r="H12" i="7"/>
  <c r="H12" i="8"/>
  <c r="H144" i="1" l="1"/>
  <c r="H15" i="1"/>
  <c r="H14" i="1"/>
  <c r="H168" i="1"/>
  <c r="H17" i="1"/>
  <c r="H72" i="1"/>
  <c r="H104" i="1"/>
  <c r="H28" i="1"/>
  <c r="H190" i="1"/>
  <c r="H139" i="1"/>
  <c r="H94" i="1"/>
  <c r="H151" i="1"/>
  <c r="H55" i="1"/>
  <c r="H201" i="1"/>
  <c r="H182" i="1"/>
  <c r="H163" i="1"/>
  <c r="H137" i="1"/>
  <c r="H118" i="1"/>
  <c r="H54" i="1"/>
  <c r="H171" i="1"/>
  <c r="H107" i="1"/>
  <c r="H87" i="1"/>
  <c r="H195" i="1"/>
  <c r="H169" i="1"/>
  <c r="H150" i="1"/>
  <c r="H131" i="1"/>
  <c r="H99" i="1"/>
  <c r="H86" i="1"/>
  <c r="H67" i="1"/>
  <c r="H175" i="1"/>
  <c r="H143" i="1"/>
  <c r="H111" i="1"/>
  <c r="H79" i="1"/>
  <c r="H47" i="1"/>
  <c r="H40" i="1"/>
  <c r="H34" i="1"/>
  <c r="H177" i="1"/>
  <c r="H113" i="1"/>
  <c r="H42" i="1"/>
  <c r="H187" i="1"/>
  <c r="H161" i="1"/>
  <c r="H129" i="1"/>
  <c r="H110" i="1"/>
  <c r="H78" i="1"/>
  <c r="H27" i="1"/>
  <c r="H189" i="1"/>
  <c r="H119" i="1"/>
  <c r="H193" i="1"/>
  <c r="H174" i="1"/>
  <c r="H155" i="1"/>
  <c r="H142" i="1"/>
  <c r="H123" i="1"/>
  <c r="H91" i="1"/>
  <c r="H46" i="1"/>
  <c r="H33" i="1"/>
  <c r="H20" i="1"/>
  <c r="H205" i="1"/>
  <c r="H199" i="1"/>
  <c r="H173" i="1"/>
  <c r="H167" i="1"/>
  <c r="H154" i="1"/>
  <c r="H135" i="1"/>
  <c r="H128" i="1"/>
  <c r="H122" i="1"/>
  <c r="H103" i="1"/>
  <c r="H96" i="1"/>
  <c r="H71" i="1"/>
  <c r="H64" i="1"/>
  <c r="H26" i="1"/>
  <c r="H145" i="1"/>
  <c r="H183" i="1"/>
  <c r="H106" i="1"/>
  <c r="H198" i="1"/>
  <c r="H121" i="1"/>
  <c r="H203" i="1"/>
  <c r="H126" i="1"/>
  <c r="H30" i="1"/>
  <c r="H74" i="1"/>
  <c r="H179" i="1"/>
  <c r="H166" i="1"/>
  <c r="H153" i="1"/>
  <c r="H147" i="1"/>
  <c r="H134" i="1"/>
  <c r="H102" i="1"/>
  <c r="H70" i="1"/>
  <c r="H197" i="1"/>
  <c r="H191" i="1"/>
  <c r="H184" i="1"/>
  <c r="H178" i="1"/>
  <c r="H159" i="1"/>
  <c r="H127" i="1"/>
  <c r="H95" i="1"/>
  <c r="H63" i="1"/>
  <c r="H56" i="1"/>
  <c r="H31" i="1"/>
  <c r="H24" i="1"/>
  <c r="H158" i="1"/>
  <c r="H62" i="1"/>
  <c r="H194" i="1"/>
  <c r="H186" i="1"/>
  <c r="H160" i="1"/>
  <c r="H90" i="1"/>
  <c r="H58" i="1"/>
  <c r="H44" i="1"/>
  <c r="H152" i="1"/>
  <c r="H120" i="1"/>
  <c r="H32" i="1"/>
  <c r="H112" i="1"/>
  <c r="H48" i="1"/>
  <c r="H36" i="1"/>
  <c r="H16" i="1"/>
  <c r="H115" i="1"/>
  <c r="H83" i="1"/>
  <c r="H75" i="1"/>
  <c r="H59" i="1"/>
  <c r="H51" i="1"/>
  <c r="H37" i="1"/>
  <c r="H185" i="1"/>
  <c r="H181" i="1"/>
  <c r="H165" i="1"/>
  <c r="H149" i="1"/>
  <c r="H133" i="1"/>
  <c r="H117" i="1"/>
  <c r="H101" i="1"/>
  <c r="H85" i="1"/>
  <c r="H61" i="1"/>
  <c r="H39" i="1"/>
  <c r="H157" i="1"/>
  <c r="H141" i="1"/>
  <c r="H125" i="1"/>
  <c r="H109" i="1"/>
  <c r="H93" i="1"/>
  <c r="H77" i="1"/>
  <c r="H69" i="1"/>
  <c r="H53" i="1"/>
  <c r="H45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38" i="1"/>
  <c r="H25" i="1"/>
  <c r="H19" i="1"/>
  <c r="H202" i="1"/>
  <c r="H170" i="1"/>
  <c r="H162" i="1"/>
  <c r="H146" i="1"/>
  <c r="H138" i="1"/>
  <c r="H130" i="1"/>
  <c r="H114" i="1"/>
  <c r="H98" i="1"/>
  <c r="H82" i="1"/>
  <c r="H66" i="1"/>
  <c r="H50" i="1"/>
  <c r="H43" i="1"/>
  <c r="H97" i="1"/>
  <c r="H73" i="1"/>
  <c r="H23" i="1"/>
  <c r="H105" i="1"/>
  <c r="H89" i="1"/>
  <c r="H81" i="1"/>
  <c r="H65" i="1"/>
  <c r="H57" i="1"/>
  <c r="H49" i="1"/>
  <c r="H29" i="1"/>
  <c r="H200" i="1"/>
  <c r="H192" i="1"/>
  <c r="H176" i="1"/>
  <c r="H41" i="1"/>
  <c r="H35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<sst xmlns="http://schemas.openxmlformats.org/spreadsheetml/2006/main" count="653" uniqueCount="523">
  <si>
    <t>THE FEDERAL POLYTECHNIC, ADO-EKITI</t>
  </si>
  <si>
    <t xml:space="preserve">SCHOOL OF PURE AND APPLIED SCIENCE </t>
  </si>
  <si>
    <t>DEPARTMENT OF SCIENCE TECHNOLOGY</t>
  </si>
  <si>
    <t xml:space="preserve">ND II (MORNING) RESULTS </t>
  </si>
  <si>
    <t>2025/2026 SESSION      FIRST SEMESTER</t>
  </si>
  <si>
    <t>SNO</t>
  </si>
  <si>
    <t>MATRIC</t>
  </si>
  <si>
    <t>SNAME</t>
  </si>
  <si>
    <t>INIT</t>
  </si>
  <si>
    <t>CA</t>
  </si>
  <si>
    <t>Exam</t>
  </si>
  <si>
    <t>Total</t>
  </si>
  <si>
    <t>100%</t>
  </si>
  <si>
    <t>ST/24/1-0002</t>
  </si>
  <si>
    <t>ADEFEMI</t>
  </si>
  <si>
    <t>K. B.</t>
  </si>
  <si>
    <t>ST/24/1-0003</t>
  </si>
  <si>
    <t>ADEGBOLA</t>
  </si>
  <si>
    <t>O. E.</t>
  </si>
  <si>
    <t>ST/24/1-0004</t>
  </si>
  <si>
    <t>ADENIRAN</t>
  </si>
  <si>
    <t>P. V.</t>
  </si>
  <si>
    <t>ST/24/1-0005</t>
  </si>
  <si>
    <t>ADEREMI</t>
  </si>
  <si>
    <t>F. O.</t>
  </si>
  <si>
    <t>ST/24/1-0006</t>
  </si>
  <si>
    <t>ADEWUYI</t>
  </si>
  <si>
    <t>O. F.</t>
  </si>
  <si>
    <t>ST/24/1-0007</t>
  </si>
  <si>
    <t>AGUNLOYE</t>
  </si>
  <si>
    <t>P. O.</t>
  </si>
  <si>
    <t>ST/24/1-0008</t>
  </si>
  <si>
    <t>AISIDA</t>
  </si>
  <si>
    <t>S. E.</t>
  </si>
  <si>
    <t>ST/24/1-0009</t>
  </si>
  <si>
    <t>AJAYI</t>
  </si>
  <si>
    <t>T. E.</t>
  </si>
  <si>
    <t>ST/24/1-0010</t>
  </si>
  <si>
    <t>AKOR</t>
  </si>
  <si>
    <t>S. O.</t>
  </si>
  <si>
    <t>ST/24/1-0011</t>
  </si>
  <si>
    <t>ALAKE</t>
  </si>
  <si>
    <t>D. A.</t>
  </si>
  <si>
    <t>ST/24/1-0012</t>
  </si>
  <si>
    <t>APOLOLA</t>
  </si>
  <si>
    <t>O. S.</t>
  </si>
  <si>
    <t>ST/24/1-0013</t>
  </si>
  <si>
    <t>BLESSING</t>
  </si>
  <si>
    <t>K. P.</t>
  </si>
  <si>
    <t>ST/24/1-0014</t>
  </si>
  <si>
    <t>DADA</t>
  </si>
  <si>
    <t>ST/24/1-0015</t>
  </si>
  <si>
    <t>EGBAJI</t>
  </si>
  <si>
    <t>J. I.</t>
  </si>
  <si>
    <t>ST/24/1-0016</t>
  </si>
  <si>
    <t>FAJUYI</t>
  </si>
  <si>
    <t>D. O.</t>
  </si>
  <si>
    <t>ST/24/1-0017</t>
  </si>
  <si>
    <t>IDOWU</t>
  </si>
  <si>
    <t>O. O.</t>
  </si>
  <si>
    <t>ST/24/1-0018</t>
  </si>
  <si>
    <t>JAJA</t>
  </si>
  <si>
    <t>B. G.</t>
  </si>
  <si>
    <t>ST/24/1-0019</t>
  </si>
  <si>
    <t>LINUS</t>
  </si>
  <si>
    <t>J. F.</t>
  </si>
  <si>
    <t>ST/24/1-0020</t>
  </si>
  <si>
    <t>MESE</t>
  </si>
  <si>
    <t>ST/24/1-0021</t>
  </si>
  <si>
    <t>OGUNJEMILUA</t>
  </si>
  <si>
    <t>O. V.</t>
  </si>
  <si>
    <t>ST/24/1-0022</t>
  </si>
  <si>
    <t>OKEOWO</t>
  </si>
  <si>
    <t>T. M.</t>
  </si>
  <si>
    <t>ST/24/1-0023</t>
  </si>
  <si>
    <t>OLADIMEJI</t>
  </si>
  <si>
    <t>M. C.</t>
  </si>
  <si>
    <t>ST/24/1-0024</t>
  </si>
  <si>
    <t>OLAMILEKAN</t>
  </si>
  <si>
    <t>D. M.</t>
  </si>
  <si>
    <t>ST/24/1-0025</t>
  </si>
  <si>
    <t>OLATOKUNBO</t>
  </si>
  <si>
    <t>V. M.</t>
  </si>
  <si>
    <t>ST/24/1-0026</t>
  </si>
  <si>
    <t>OLOWOOKERE</t>
  </si>
  <si>
    <t>ST/24/1-0027</t>
  </si>
  <si>
    <t>SUARA</t>
  </si>
  <si>
    <t>E. O.</t>
  </si>
  <si>
    <t>ST/24/1-0028</t>
  </si>
  <si>
    <t>ABDULGANIYU</t>
  </si>
  <si>
    <t>K. O.</t>
  </si>
  <si>
    <t>ST/24/1-0029</t>
  </si>
  <si>
    <t>ADEBAYO</t>
  </si>
  <si>
    <t>O. A.</t>
  </si>
  <si>
    <t>ST/24/1-0030</t>
  </si>
  <si>
    <t>TADE</t>
  </si>
  <si>
    <t>O. B.</t>
  </si>
  <si>
    <t>ST/24/1-0031</t>
  </si>
  <si>
    <t>ADEFIOYE</t>
  </si>
  <si>
    <t>A. A.</t>
  </si>
  <si>
    <t>ST/24/1-0032</t>
  </si>
  <si>
    <t>AMUDE</t>
  </si>
  <si>
    <t>R. O.</t>
  </si>
  <si>
    <t>ST/24/1-0033</t>
  </si>
  <si>
    <t>ARO</t>
  </si>
  <si>
    <t>ST/24/1-0034</t>
  </si>
  <si>
    <t>FAMUYIDE</t>
  </si>
  <si>
    <t>E. M.</t>
  </si>
  <si>
    <t>ST/24/1-0035</t>
  </si>
  <si>
    <t>OMOJOLA</t>
  </si>
  <si>
    <t>T. A.</t>
  </si>
  <si>
    <t>ST/24/1-0036</t>
  </si>
  <si>
    <t>ADEBISI</t>
  </si>
  <si>
    <t>T. B.</t>
  </si>
  <si>
    <t>ST/24/1-0037</t>
  </si>
  <si>
    <t>ADEDAPO</t>
  </si>
  <si>
    <t>O. M.</t>
  </si>
  <si>
    <t>ST/24/1-0038</t>
  </si>
  <si>
    <t>AGBOOLA</t>
  </si>
  <si>
    <t>O. P.</t>
  </si>
  <si>
    <t>ST/24/1-0039</t>
  </si>
  <si>
    <t>AKERELE</t>
  </si>
  <si>
    <t>T. O.</t>
  </si>
  <si>
    <t>ST/24/1-0040</t>
  </si>
  <si>
    <t>AKINBODEWA</t>
  </si>
  <si>
    <t>ST/24/1-0041</t>
  </si>
  <si>
    <t>AKINLAJA</t>
  </si>
  <si>
    <t>B. M.</t>
  </si>
  <si>
    <t>ST/24/1-0042</t>
  </si>
  <si>
    <t>AKINYANDENU</t>
  </si>
  <si>
    <t>ST/24/1-0043</t>
  </si>
  <si>
    <t>AMIRE</t>
  </si>
  <si>
    <t>ST/24/1-0044</t>
  </si>
  <si>
    <t>AYODELE</t>
  </si>
  <si>
    <t>L. A.</t>
  </si>
  <si>
    <t>ST/24/1-0045</t>
  </si>
  <si>
    <t>HOLO</t>
  </si>
  <si>
    <t>ST/24/1-0046</t>
  </si>
  <si>
    <t>ISMAIL</t>
  </si>
  <si>
    <t>W. O.</t>
  </si>
  <si>
    <t>ST/24/1-0047</t>
  </si>
  <si>
    <t>OGUNJOBI</t>
  </si>
  <si>
    <t>V. A.</t>
  </si>
  <si>
    <t>ST/24/1-0048</t>
  </si>
  <si>
    <t>OKOLI</t>
  </si>
  <si>
    <t>O. J.</t>
  </si>
  <si>
    <t>ST/24/1-0049</t>
  </si>
  <si>
    <t>OLADEYEKUN</t>
  </si>
  <si>
    <t>R. P.</t>
  </si>
  <si>
    <t>ST/24/1-0050</t>
  </si>
  <si>
    <t>OLUWAFEMI</t>
  </si>
  <si>
    <t>ST/24/1-0051</t>
  </si>
  <si>
    <t>OMONIYI</t>
  </si>
  <si>
    <t>E.</t>
  </si>
  <si>
    <t>ST/24/1-0052</t>
  </si>
  <si>
    <t>ORETUYI</t>
  </si>
  <si>
    <t>ST/24/1-0053</t>
  </si>
  <si>
    <t>RAPHEAL</t>
  </si>
  <si>
    <t>ST/24/1-0054</t>
  </si>
  <si>
    <t>ROTAWO</t>
  </si>
  <si>
    <t>F. I.</t>
  </si>
  <si>
    <t>ST/24/1-0055</t>
  </si>
  <si>
    <t>SAMUEL</t>
  </si>
  <si>
    <t>M. S.</t>
  </si>
  <si>
    <t>ST/24/1-0056</t>
  </si>
  <si>
    <t>SUNDAY</t>
  </si>
  <si>
    <t>S. A.</t>
  </si>
  <si>
    <t>ST/24/1-0057</t>
  </si>
  <si>
    <t>ABDULLAHI</t>
  </si>
  <si>
    <t>ST/24/1-0058</t>
  </si>
  <si>
    <t>ABDULRAHAMAN</t>
  </si>
  <si>
    <t>ST/24/1-0059</t>
  </si>
  <si>
    <t>ABE</t>
  </si>
  <si>
    <t>ST/24/1-0060</t>
  </si>
  <si>
    <t>ABOLARIN</t>
  </si>
  <si>
    <t>B. S.</t>
  </si>
  <si>
    <t>ST/24/1-0061</t>
  </si>
  <si>
    <t>B. A.</t>
  </si>
  <si>
    <t>ST/24/1-0062</t>
  </si>
  <si>
    <t>ADEGBAJU</t>
  </si>
  <si>
    <t>D. B.</t>
  </si>
  <si>
    <t>ST/24/1-0063</t>
  </si>
  <si>
    <t>AKINLOOSE</t>
  </si>
  <si>
    <t>J. A.</t>
  </si>
  <si>
    <t>ST/24/1-0064</t>
  </si>
  <si>
    <t>AKINYEMI</t>
  </si>
  <si>
    <t>A. D.</t>
  </si>
  <si>
    <t>ST/24/1-0065</t>
  </si>
  <si>
    <t>ALABI</t>
  </si>
  <si>
    <t>ST/24/1-0066</t>
  </si>
  <si>
    <t>BABAYEMI</t>
  </si>
  <si>
    <t>ST/24/1-0067</t>
  </si>
  <si>
    <t>BAMIDELE</t>
  </si>
  <si>
    <t>B. O.</t>
  </si>
  <si>
    <t>ST/24/1-0068</t>
  </si>
  <si>
    <t>S. M.</t>
  </si>
  <si>
    <t>ST/24/1-0069</t>
  </si>
  <si>
    <t>IMORI</t>
  </si>
  <si>
    <t>E. S.</t>
  </si>
  <si>
    <t>ST/24/1-0070</t>
  </si>
  <si>
    <t>KAYODE</t>
  </si>
  <si>
    <t>K. J.</t>
  </si>
  <si>
    <t>ST/24/1-0071</t>
  </si>
  <si>
    <t>MATTHEW</t>
  </si>
  <si>
    <t>M.</t>
  </si>
  <si>
    <t>ST/24/1-0072</t>
  </si>
  <si>
    <t>MOSES</t>
  </si>
  <si>
    <t>M. Q.</t>
  </si>
  <si>
    <t>ST/24/1-0073</t>
  </si>
  <si>
    <t>MUHAMMED</t>
  </si>
  <si>
    <t>M. A.</t>
  </si>
  <si>
    <t>ST/24/1-0074</t>
  </si>
  <si>
    <t>OJO</t>
  </si>
  <si>
    <t>F. R.</t>
  </si>
  <si>
    <t>ST/24/1-0075</t>
  </si>
  <si>
    <t>OLUWASESAN</t>
  </si>
  <si>
    <t>J. B.</t>
  </si>
  <si>
    <t>ST/24/1-0076</t>
  </si>
  <si>
    <t>OMOLADE</t>
  </si>
  <si>
    <t>A. O.</t>
  </si>
  <si>
    <t>ST/24/1-0077</t>
  </si>
  <si>
    <t>OYEWOLA</t>
  </si>
  <si>
    <t>ST/24/1-0078</t>
  </si>
  <si>
    <t>AKINBOBOLA</t>
  </si>
  <si>
    <t>Y. J.</t>
  </si>
  <si>
    <t>ST/24/1-0079</t>
  </si>
  <si>
    <t>ADEGBAYE</t>
  </si>
  <si>
    <t>ST/24/1-0080</t>
  </si>
  <si>
    <t>ADETAYO</t>
  </si>
  <si>
    <t>B. I.</t>
  </si>
  <si>
    <t>ST/24/1-0081</t>
  </si>
  <si>
    <t>AKINKOYE</t>
  </si>
  <si>
    <t>P. Z.</t>
  </si>
  <si>
    <t>ST/24/1-0082</t>
  </si>
  <si>
    <t>OLAJIDE</t>
  </si>
  <si>
    <t>ST/24/1-0083</t>
  </si>
  <si>
    <t>AMODU</t>
  </si>
  <si>
    <t>O. D.</t>
  </si>
  <si>
    <t>ST/24/1-0084</t>
  </si>
  <si>
    <t>BABAWIBE</t>
  </si>
  <si>
    <t>F. A.</t>
  </si>
  <si>
    <t>ST/24/1-0085</t>
  </si>
  <si>
    <t>FAPOHUNDA</t>
  </si>
  <si>
    <t>A. T.</t>
  </si>
  <si>
    <t>ST/24/1-0086</t>
  </si>
  <si>
    <t>T. C.</t>
  </si>
  <si>
    <t>ST/24/1-0087</t>
  </si>
  <si>
    <t>OLOGUNLEKO</t>
  </si>
  <si>
    <t>M. O.</t>
  </si>
  <si>
    <t>ST/24/1-0088</t>
  </si>
  <si>
    <t>M. J.</t>
  </si>
  <si>
    <t>ST/24/1-0089</t>
  </si>
  <si>
    <t>UROAYE</t>
  </si>
  <si>
    <t>ST/24/1-0090</t>
  </si>
  <si>
    <t>ABOKO</t>
  </si>
  <si>
    <t>P. A.</t>
  </si>
  <si>
    <t>ST/24/1-0091</t>
  </si>
  <si>
    <t>ADETUNJI</t>
  </si>
  <si>
    <t>G. J.</t>
  </si>
  <si>
    <t>ST/24/1-0092</t>
  </si>
  <si>
    <t>ADEKOYA</t>
  </si>
  <si>
    <t>ST/24/1-0093</t>
  </si>
  <si>
    <t>AKADIRI</t>
  </si>
  <si>
    <t>ST/24/1-0094</t>
  </si>
  <si>
    <t>ALOBA</t>
  </si>
  <si>
    <t>I. M.</t>
  </si>
  <si>
    <t>ST/24/1-0095</t>
  </si>
  <si>
    <t>AYODEJI</t>
  </si>
  <si>
    <t>ST/24/1-0096</t>
  </si>
  <si>
    <t>ST/24/1-0097</t>
  </si>
  <si>
    <t>MUSA</t>
  </si>
  <si>
    <t>ST/24/1-0098</t>
  </si>
  <si>
    <t>ODEYEMI</t>
  </si>
  <si>
    <t>M. I.</t>
  </si>
  <si>
    <t>ST/24/1-0099</t>
  </si>
  <si>
    <t>OGUNDE</t>
  </si>
  <si>
    <t>ST/24/1-0100</t>
  </si>
  <si>
    <t>OGUNTOYE</t>
  </si>
  <si>
    <t>K. E.</t>
  </si>
  <si>
    <t>ST/24/1-0101</t>
  </si>
  <si>
    <t>OKE</t>
  </si>
  <si>
    <t>T. V.</t>
  </si>
  <si>
    <t>ST/24/1-0102</t>
  </si>
  <si>
    <t>OKPENE</t>
  </si>
  <si>
    <t>G. U.</t>
  </si>
  <si>
    <t>ST/24/1-0103</t>
  </si>
  <si>
    <t>OLORUNNISOMO</t>
  </si>
  <si>
    <t>P. D.</t>
  </si>
  <si>
    <t>ST/24/1-0104</t>
  </si>
  <si>
    <t>SALIU</t>
  </si>
  <si>
    <t>ST/24/1-0105</t>
  </si>
  <si>
    <t>SAMSON</t>
  </si>
  <si>
    <t>ST/24/1-0106</t>
  </si>
  <si>
    <t>SENU</t>
  </si>
  <si>
    <t>H. I.</t>
  </si>
  <si>
    <t>ST/24/1-0107</t>
  </si>
  <si>
    <t>SIMON</t>
  </si>
  <si>
    <t>C.</t>
  </si>
  <si>
    <t>ST/24/1-0108</t>
  </si>
  <si>
    <t>SURAJUDEEN</t>
  </si>
  <si>
    <t>R. A.</t>
  </si>
  <si>
    <t>ST/24/1-0109</t>
  </si>
  <si>
    <t>AYANNUGA</t>
  </si>
  <si>
    <t>E. F.</t>
  </si>
  <si>
    <t>ST/24/1-0110</t>
  </si>
  <si>
    <t>AYENI</t>
  </si>
  <si>
    <t>ST/24/1-0111</t>
  </si>
  <si>
    <t>ST/24/1-0112</t>
  </si>
  <si>
    <t>BABALOLA</t>
  </si>
  <si>
    <t>G. A.</t>
  </si>
  <si>
    <t>ST/24/1-0113</t>
  </si>
  <si>
    <t>BELLO</t>
  </si>
  <si>
    <t>G. I.</t>
  </si>
  <si>
    <t>ST/24/1-0114</t>
  </si>
  <si>
    <t>M. B.</t>
  </si>
  <si>
    <t>ST/24/1-0115</t>
  </si>
  <si>
    <t>EDE</t>
  </si>
  <si>
    <t>N. M.</t>
  </si>
  <si>
    <t>ST/24/1-0116</t>
  </si>
  <si>
    <t>EDU</t>
  </si>
  <si>
    <t>F. F.</t>
  </si>
  <si>
    <t>ST/24/1-0117</t>
  </si>
  <si>
    <t>KOMOLAFE</t>
  </si>
  <si>
    <t>ST/24/1-0118</t>
  </si>
  <si>
    <t>O. N.</t>
  </si>
  <si>
    <t>ST/24/1-0119</t>
  </si>
  <si>
    <t>OLABIYI</t>
  </si>
  <si>
    <t>ST/24/1-0120</t>
  </si>
  <si>
    <t>ONI</t>
  </si>
  <si>
    <t>B. E.</t>
  </si>
  <si>
    <t>ST/24/1-0121</t>
  </si>
  <si>
    <t>OYESOJI</t>
  </si>
  <si>
    <t>J. O.</t>
  </si>
  <si>
    <t>ST/24/1-0122</t>
  </si>
  <si>
    <t>ABIOLA</t>
  </si>
  <si>
    <t>ST/24/1-0123</t>
  </si>
  <si>
    <t>ACHIA</t>
  </si>
  <si>
    <t>S. G.</t>
  </si>
  <si>
    <t>ST/24/1-0124</t>
  </si>
  <si>
    <t>ADENIYI</t>
  </si>
  <si>
    <t>F. V.</t>
  </si>
  <si>
    <t>ST/24/1-0125</t>
  </si>
  <si>
    <t>ADETOYEBI</t>
  </si>
  <si>
    <t>ST/24/1-0126</t>
  </si>
  <si>
    <t>ALEEM</t>
  </si>
  <si>
    <t>Z. A.</t>
  </si>
  <si>
    <t>ST/24/1-0127</t>
  </si>
  <si>
    <t>AWODEYI</t>
  </si>
  <si>
    <t>F. K.</t>
  </si>
  <si>
    <t>ST/24/1-0128</t>
  </si>
  <si>
    <t>AYILARAN</t>
  </si>
  <si>
    <t>A. B.</t>
  </si>
  <si>
    <t>ST/24/1-0129</t>
  </si>
  <si>
    <t>ST/24/1-0130</t>
  </si>
  <si>
    <t>OGBONNAIYE</t>
  </si>
  <si>
    <t>J. P.</t>
  </si>
  <si>
    <t>ST/24/1-0131</t>
  </si>
  <si>
    <t>OLADIPUPO</t>
  </si>
  <si>
    <t>I. A.</t>
  </si>
  <si>
    <t>ST/24/1-0132</t>
  </si>
  <si>
    <t>OLAFISOYE</t>
  </si>
  <si>
    <t>A. K.</t>
  </si>
  <si>
    <t>ST/24/1-0133</t>
  </si>
  <si>
    <t>OMOTOSHO</t>
  </si>
  <si>
    <t>O. L.</t>
  </si>
  <si>
    <t>ST/24/1-0134</t>
  </si>
  <si>
    <t>RAPHAEL</t>
  </si>
  <si>
    <t>ST/24/1-0135</t>
  </si>
  <si>
    <t>ST/24/1-0136</t>
  </si>
  <si>
    <t>YEKINI</t>
  </si>
  <si>
    <t>P. T.</t>
  </si>
  <si>
    <t>ST/24/1-0137</t>
  </si>
  <si>
    <t>A. S.</t>
  </si>
  <si>
    <t>ST/24/1-0138</t>
  </si>
  <si>
    <t>ALIU</t>
  </si>
  <si>
    <t>K. V.</t>
  </si>
  <si>
    <t>ST/24/1-0139</t>
  </si>
  <si>
    <t>ENIOYE</t>
  </si>
  <si>
    <t>G. D.</t>
  </si>
  <si>
    <t>ST/24/1-0140</t>
  </si>
  <si>
    <t>ISMAILA</t>
  </si>
  <si>
    <t>ST/24/1-0141</t>
  </si>
  <si>
    <t>OGHRE</t>
  </si>
  <si>
    <t>S.</t>
  </si>
  <si>
    <t>ST/24/1-0142</t>
  </si>
  <si>
    <t>OWOYEMI</t>
  </si>
  <si>
    <t>I. V.</t>
  </si>
  <si>
    <t>ST/24/1-0143</t>
  </si>
  <si>
    <t>SALAMI</t>
  </si>
  <si>
    <t>ST/24/1-0144</t>
  </si>
  <si>
    <t>THOMAS</t>
  </si>
  <si>
    <t>G. F.</t>
  </si>
  <si>
    <t>ST/24/1-0145</t>
  </si>
  <si>
    <t>ADEKUNLE</t>
  </si>
  <si>
    <t>ST/24/1-0146</t>
  </si>
  <si>
    <t>AKINTUNDE</t>
  </si>
  <si>
    <t>ST/24/1-0147</t>
  </si>
  <si>
    <t>ALABA</t>
  </si>
  <si>
    <t>E. A.</t>
  </si>
  <si>
    <t>ST/24/1-0148</t>
  </si>
  <si>
    <t>ST/24/1-0149</t>
  </si>
  <si>
    <t>ST/24/1-0150</t>
  </si>
  <si>
    <t>OLADELE</t>
  </si>
  <si>
    <t>ST/24/1-0151</t>
  </si>
  <si>
    <t>OMIWANDE</t>
  </si>
  <si>
    <t>R. F.</t>
  </si>
  <si>
    <t>ST/24/1-0152</t>
  </si>
  <si>
    <t>OMOMULE</t>
  </si>
  <si>
    <t>N. A.</t>
  </si>
  <si>
    <t>ST/24/1-0153</t>
  </si>
  <si>
    <t>ONOKO</t>
  </si>
  <si>
    <t>ST/24/1-0154</t>
  </si>
  <si>
    <t>B. J.</t>
  </si>
  <si>
    <t>ST/24/1-0155</t>
  </si>
  <si>
    <t>ENIOLA</t>
  </si>
  <si>
    <t>I. J.</t>
  </si>
  <si>
    <t>ST/24/1-0156</t>
  </si>
  <si>
    <t>FASUYI</t>
  </si>
  <si>
    <t>N. C.</t>
  </si>
  <si>
    <t>ST/24/1-0157</t>
  </si>
  <si>
    <t>W. J.</t>
  </si>
  <si>
    <t>ST/24/1-0158</t>
  </si>
  <si>
    <t>ST/24/1-0159</t>
  </si>
  <si>
    <t>AKINNUSI</t>
  </si>
  <si>
    <t>ST/24/1-0160</t>
  </si>
  <si>
    <t>ST/24/1-0161</t>
  </si>
  <si>
    <t>JOSEPH</t>
  </si>
  <si>
    <t>ST/24/1-0162</t>
  </si>
  <si>
    <t>ST/24/1-0163</t>
  </si>
  <si>
    <t>TARGEMA</t>
  </si>
  <si>
    <t>C. U.</t>
  </si>
  <si>
    <t>ST/24/1-0164</t>
  </si>
  <si>
    <t>ADEWOLE</t>
  </si>
  <si>
    <t>ST/24/1-0165</t>
  </si>
  <si>
    <t>OMIYALE</t>
  </si>
  <si>
    <t>H. B.</t>
  </si>
  <si>
    <t>ST/24/1-0166</t>
  </si>
  <si>
    <t>AKOMOLAFE</t>
  </si>
  <si>
    <t>ST/24/1-0167</t>
  </si>
  <si>
    <t>LAWAL</t>
  </si>
  <si>
    <t>O. R.</t>
  </si>
  <si>
    <t>ST/24/1-0168</t>
  </si>
  <si>
    <t>OBASI</t>
  </si>
  <si>
    <t>ST/24/1-0169</t>
  </si>
  <si>
    <t>OWOEYE</t>
  </si>
  <si>
    <t>ST/24/1-0170</t>
  </si>
  <si>
    <t>ST/24/1-0171</t>
  </si>
  <si>
    <t>ST/24/1-0172</t>
  </si>
  <si>
    <t>JAIRUS</t>
  </si>
  <si>
    <t>V. D.</t>
  </si>
  <si>
    <t>ST/24/1-0173</t>
  </si>
  <si>
    <t>BABARINDE</t>
  </si>
  <si>
    <t>M. F.</t>
  </si>
  <si>
    <t>ST/24/1-0174</t>
  </si>
  <si>
    <t>DARAMOLA</t>
  </si>
  <si>
    <t>ST/24/1-0175</t>
  </si>
  <si>
    <t>OLUMEKUN</t>
  </si>
  <si>
    <t>E. E.</t>
  </si>
  <si>
    <t>ST/24/1-0176</t>
  </si>
  <si>
    <t>ST/24/1-0177</t>
  </si>
  <si>
    <t>BOLUWAJI</t>
  </si>
  <si>
    <t>ST/24/1-0178</t>
  </si>
  <si>
    <t>IBRAHIM</t>
  </si>
  <si>
    <t>I. B.</t>
  </si>
  <si>
    <t>ST/24/1-0179</t>
  </si>
  <si>
    <t>OLABANJI</t>
  </si>
  <si>
    <t>C. D.</t>
  </si>
  <si>
    <t>ST/24/1-0180</t>
  </si>
  <si>
    <t>OLOWO</t>
  </si>
  <si>
    <t>ST/24/1-0181</t>
  </si>
  <si>
    <t>IBIYEMI</t>
  </si>
  <si>
    <t>ST/24/1-0182</t>
  </si>
  <si>
    <t>BOLARINWA</t>
  </si>
  <si>
    <t>ST/24/1-0183</t>
  </si>
  <si>
    <t>DANIEL</t>
  </si>
  <si>
    <t>L. B.</t>
  </si>
  <si>
    <t>ST/24/1-0184</t>
  </si>
  <si>
    <t>FAJIMEYE</t>
  </si>
  <si>
    <t>F. D.</t>
  </si>
  <si>
    <t>ST/24/1-0185</t>
  </si>
  <si>
    <t>IGE</t>
  </si>
  <si>
    <t>ST/24/1-0186</t>
  </si>
  <si>
    <t>TAIWO</t>
  </si>
  <si>
    <t>I. C.</t>
  </si>
  <si>
    <t>ST/24/1-0187</t>
  </si>
  <si>
    <t>ATTEH</t>
  </si>
  <si>
    <t>ST/24/1-0188</t>
  </si>
  <si>
    <t>ADEWUMI</t>
  </si>
  <si>
    <t>ST/24/1-0189</t>
  </si>
  <si>
    <t>O. T.</t>
  </si>
  <si>
    <t>ST/24/1-0190</t>
  </si>
  <si>
    <t>ST/24/1-0191</t>
  </si>
  <si>
    <t>ST/24/1-0192</t>
  </si>
  <si>
    <t>ORUBULOYE</t>
  </si>
  <si>
    <t>ST/24/1-0193</t>
  </si>
  <si>
    <t>AYIKEKE</t>
  </si>
  <si>
    <t>ST/24/1-0194</t>
  </si>
  <si>
    <t>AKINDARE</t>
  </si>
  <si>
    <t>K. T.</t>
  </si>
  <si>
    <t>HOD's Name:    Dr. F. A.  ISHAYA                     Signature/Date:______________________</t>
  </si>
  <si>
    <t>ST/24/1-0195</t>
  </si>
  <si>
    <t>PATRICK</t>
  </si>
  <si>
    <t>C. B.</t>
  </si>
  <si>
    <t>ST/19/1-0013</t>
  </si>
  <si>
    <t>Course Code: STP 211</t>
  </si>
  <si>
    <t xml:space="preserve">UNIT: 2.0 </t>
  </si>
  <si>
    <t>ND II (MORNING) CARRYOVER RESULT</t>
  </si>
  <si>
    <t>NATIONAL DIPLOMA CARRY OVER</t>
  </si>
  <si>
    <t>Lecturer's Name: OLUMODEJI I.A.  _____Signature/Date:______________________</t>
  </si>
  <si>
    <t>Pract</t>
  </si>
  <si>
    <t>Course Title: Practical for STP 211 and STP 212</t>
  </si>
  <si>
    <t>Lecturer's Name: OLUMODEJI I.A.    Signature/Date:___________________</t>
  </si>
  <si>
    <t>ST/23/1-0020</t>
  </si>
  <si>
    <t>OLAKUNLE</t>
  </si>
  <si>
    <t>O.S</t>
  </si>
  <si>
    <t>ST/23/1-0026</t>
  </si>
  <si>
    <t>V.O</t>
  </si>
  <si>
    <t>ST/23/1-0148</t>
  </si>
  <si>
    <t xml:space="preserve">OLAJIRE </t>
  </si>
  <si>
    <t>R.O</t>
  </si>
  <si>
    <t>ADEMAKINWA</t>
  </si>
  <si>
    <t>D.O</t>
  </si>
  <si>
    <t>Lecturer's Name: OLUMODEJI I.A    ____Signature/Date:______________________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</si>
</sst>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libri"/>
    </font>
    <font>
      <sz val="10"/>
      <name val="Algerian"/>
    </font>
    <font>
      <b/>
      <sz val="12"/>
      <name val="Algerian"/>
    </font>
    <font>
      <b/>
      <sz val="10"/>
      <name val="MS Sans Serif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5" fillId="0" borderId="0">
      <protection locked="0"/>
    </xf>
  </cellStyleXfs>
  <cellXfs count="21">
    <xf numFmtId="0" fontId="0" fillId="0" borderId="0" xfId="0"/>
    <xf numFmtId="0" fontId="1" fillId="0" borderId="0" xfId="1">
      <alignment vertical="center"/>
    </xf>
    <xf numFmtId="0" fontId="2" fillId="0" borderId="0" xfId="2" applyFont="1" applyProtection="1"/>
    <xf numFmtId="0" fontId="3" fillId="0" borderId="0" xfId="2" applyFont="1" applyProtection="1"/>
    <xf numFmtId="0" fontId="5" fillId="0" borderId="2" xfId="2" applyBorder="1" applyProtection="1"/>
    <xf numFmtId="0" fontId="5" fillId="0" borderId="0" xfId="2" applyProtection="1"/>
    <xf numFmtId="0" fontId="4" fillId="0" borderId="2" xfId="2" applyFont="1" applyBorder="1" applyProtection="1"/>
    <xf numFmtId="9" fontId="4" fillId="0" borderId="2" xfId="2" applyNumberFormat="1" applyFont="1" applyBorder="1" applyProtection="1"/>
    <xf numFmtId="0" fontId="5" fillId="0" borderId="2" xfId="2" quotePrefix="1" applyBorder="1" applyProtection="1"/>
    <xf numFmtId="0" fontId="5" fillId="0" borderId="3" xfId="2" quotePrefix="1" applyBorder="1" applyProtection="1"/>
    <xf numFmtId="1" fontId="5" fillId="0" borderId="2" xfId="2" applyNumberFormat="1" applyBorder="1" applyProtection="1"/>
    <xf numFmtId="2" fontId="0" fillId="0" borderId="0" xfId="0" applyNumberFormat="1"/>
    <xf numFmtId="1" fontId="5" fillId="0" borderId="2" xfId="2" applyNumberFormat="1" applyBorder="1" applyAlignment="1" applyProtection="1">
      <alignment horizontal="center"/>
    </xf>
    <xf numFmtId="0" fontId="2" fillId="0" borderId="0" xfId="2" applyFont="1" applyAlignment="1" applyProtection="1">
      <alignment horizontal="center"/>
    </xf>
    <xf numFmtId="0" fontId="5" fillId="0" borderId="0" xfId="2" applyAlignment="1" applyProtection="1">
      <alignment horizontal="center"/>
    </xf>
    <xf numFmtId="0" fontId="0" fillId="0" borderId="0" xfId="0" applyAlignment="1">
      <alignment horizontal="center"/>
    </xf>
    <xf numFmtId="0" fontId="5" fillId="0" borderId="2" xfId="2" applyBorder="1" applyAlignment="1" applyProtection="1">
      <alignment horizontal="center"/>
    </xf>
    <xf numFmtId="0" fontId="5" fillId="0" borderId="0" xfId="2" applyProtection="1"/>
    <xf numFmtId="0" fontId="4" fillId="0" borderId="1" xfId="2" applyFont="1" applyBorder="1" applyAlignment="1" applyProtection="1">
      <alignment horizontal="center"/>
    </xf>
    <xf numFmtId="0" fontId="4" fillId="0" borderId="3" xfId="2" applyFont="1" applyBorder="1" applyAlignment="1" applyProtection="1">
      <alignment horizontal="center"/>
    </xf>
    <xf numFmtId="0" fontId="4" fillId="0" borderId="4" xfId="2" applyFont="1" applyBorder="1" applyAlignment="1" applyProtection="1">
      <alignment horizont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104775</xdr:rowOff>
    </xdr:from>
    <xdr:to>
      <xdr:col>1</xdr:col>
      <xdr:colOff>617750</xdr:colOff>
      <xdr:row>4</xdr:row>
      <xdr:rowOff>142428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09550" y="104775"/>
          <a:ext cx="751100" cy="91395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104775</xdr:rowOff>
    </xdr:from>
    <xdr:to>
      <xdr:col>1</xdr:col>
      <xdr:colOff>617750</xdr:colOff>
      <xdr:row>4</xdr:row>
      <xdr:rowOff>142428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09550" y="104775"/>
          <a:ext cx="693950" cy="91395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104775</xdr:rowOff>
    </xdr:from>
    <xdr:to>
      <xdr:col>1</xdr:col>
      <xdr:colOff>617750</xdr:colOff>
      <xdr:row>4</xdr:row>
      <xdr:rowOff>142428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09550" y="104775"/>
          <a:ext cx="779675" cy="91395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"/>
  <sheetViews>
    <sheetView tabSelected="1" zoomScale="90" zoomScaleNormal="90" workbookViewId="0">
      <selection activeCell="N12" sqref="N12"/>
    </sheetView>
  </sheetViews>
  <sheetFormatPr defaultRowHeight="14.4"/>
  <cols>
    <col min="1" max="1" width="5.109375" customWidth="1"/>
    <col min="2" max="2" width="13" customWidth="1"/>
    <col min="3" max="3" width="21.109375" customWidth="1"/>
    <col min="5" max="5" width="6.88671875" customWidth="1"/>
    <col min="6" max="6" width="7.44140625" customWidth="1"/>
    <col min="7" max="7" width="6.5546875" customWidth="1"/>
    <col min="8" max="8" width="7.5546875" style="15" customWidth="1"/>
  </cols>
  <sheetData>
    <row r="1" spans="1:14" ht="16.2">
      <c r="A1" s="2"/>
      <c r="B1" s="2"/>
      <c r="C1" s="3" t="s">
        <v>0</v>
      </c>
      <c r="D1" s="3"/>
      <c r="E1" s="3"/>
      <c r="F1" s="3"/>
      <c r="G1" s="3"/>
      <c r="H1" s="13"/>
    </row>
    <row r="2" spans="1:14" ht="16.2">
      <c r="A2" s="2"/>
      <c r="B2" s="2"/>
      <c r="C2" s="3" t="s">
        <v>1</v>
      </c>
      <c r="D2" s="3"/>
      <c r="E2" s="3"/>
      <c r="F2" s="3"/>
      <c r="G2" s="3"/>
      <c r="H2" s="13"/>
    </row>
    <row r="3" spans="1:14" ht="16.2">
      <c r="A3" s="2"/>
      <c r="B3" s="2"/>
      <c r="C3" s="3" t="s">
        <v>2</v>
      </c>
      <c r="D3" s="3"/>
      <c r="E3" s="3"/>
      <c r="F3" s="3"/>
      <c r="G3" s="3"/>
      <c r="H3" s="13"/>
    </row>
    <row r="4" spans="1:14" ht="16.2">
      <c r="A4" s="2"/>
      <c r="B4" s="2"/>
      <c r="C4" s="3" t="s">
        <v>3</v>
      </c>
      <c r="D4" s="3"/>
      <c r="E4" s="3"/>
      <c r="F4" s="3"/>
      <c r="G4" s="3"/>
      <c r="H4" s="13"/>
    </row>
    <row r="5" spans="1:14" ht="16.2">
      <c r="A5" s="2"/>
      <c r="B5" s="2"/>
      <c r="C5" s="3" t="s">
        <v>4</v>
      </c>
      <c r="D5" s="3"/>
      <c r="E5" s="3"/>
      <c r="F5" s="3"/>
      <c r="G5" s="3"/>
      <c r="H5" s="13"/>
    </row>
    <row r="6" spans="1:14">
      <c r="A6" s="2" t="s">
        <v>507</v>
      </c>
      <c r="B6" s="2"/>
      <c r="C6" s="2"/>
      <c r="D6" s="2"/>
      <c r="E6" s="2"/>
      <c r="F6" s="2"/>
      <c r="G6" s="2"/>
      <c r="H6" s="13"/>
    </row>
    <row r="7" spans="1:14">
      <c r="A7" s="2" t="s">
        <v>510</v>
      </c>
      <c r="B7" s="2"/>
      <c r="C7" s="2"/>
      <c r="D7" s="2"/>
      <c r="E7" s="2"/>
      <c r="F7" s="2"/>
      <c r="G7" s="2"/>
      <c r="H7" s="13"/>
    </row>
    <row r="8" spans="1:14">
      <c r="A8" s="2" t="s">
        <v>504</v>
      </c>
      <c r="B8" s="2"/>
      <c r="C8" s="2"/>
      <c r="D8" s="2"/>
      <c r="E8" s="2"/>
      <c r="F8" s="1"/>
      <c r="G8" s="1"/>
      <c r="H8" s="13"/>
    </row>
    <row r="9" spans="1:14">
      <c r="A9" s="2" t="s">
        <v>505</v>
      </c>
      <c r="B9" s="2"/>
      <c r="C9" s="2"/>
      <c r="D9" s="2"/>
      <c r="E9" s="2"/>
      <c r="F9" s="2"/>
      <c r="G9" s="2"/>
      <c r="H9" s="13"/>
    </row>
    <row r="10" spans="1:14">
      <c r="A10" s="18" t="s">
        <v>5</v>
      </c>
      <c r="B10" s="18" t="s">
        <v>6</v>
      </c>
      <c r="C10" s="18" t="s">
        <v>7</v>
      </c>
      <c r="D10" s="18" t="s">
        <v>8</v>
      </c>
      <c r="E10" s="18" t="s">
        <v>10</v>
      </c>
      <c r="F10" s="18" t="s">
        <v>509</v>
      </c>
      <c r="G10" s="18" t="s">
        <v>9</v>
      </c>
      <c r="H10" s="18" t="s">
        <v>11</v>
      </c>
    </row>
    <row r="11" spans="1:14" ht="15" thickBot="1">
      <c r="A11" s="19"/>
      <c r="B11" s="19"/>
      <c r="C11" s="19"/>
      <c r="D11" s="20"/>
      <c r="E11" s="19"/>
      <c r="F11" s="19"/>
      <c r="G11" s="19"/>
      <c r="H11" s="19"/>
    </row>
    <row r="12" spans="1:14" ht="15" thickTop="1">
      <c r="A12" s="8">
        <v>1</v>
      </c>
      <c r="B12" s="8" t="s">
        <v>13</v>
      </c>
      <c r="C12" s="8" t="s">
        <v>14</v>
      </c>
      <c r="D12" s="9" t="s">
        <v>15</v>
      </c>
      <c r="E12" s="4">
        <v>24</v>
      </c>
      <c r="F12" s="12" t="str" cm="1">
        <f t="array" ref="F12">_xlfn.IFS(E12=0, "0", E12&lt;=4, "10", E12&lt;=10, "23", E12&lt;=15, "25", E12&lt;=20, "28",E12&lt;=25, "30", E12&lt;=30, "35", E12&lt;=40, "38")</f>
        <v>30</v>
      </c>
      <c r="G12" s="16">
        <v>16</v>
      </c>
      <c r="H12" s="12">
        <f>E12+F12+G12</f>
        <v>70</v>
      </c>
      <c r="N12" s="11"/>
    </row>
    <row r="13" spans="1:14">
      <c r="A13" s="8">
        <v>2</v>
      </c>
      <c r="B13" s="8" t="s">
        <v>16</v>
      </c>
      <c r="C13" s="8" t="s">
        <v>17</v>
      </c>
      <c r="D13" s="8" t="s">
        <v>18</v>
      </c>
      <c r="E13" s="4"/>
      <c r="F13" s="12" t="str" cm="1">
        <f t="array" ref="F13">_xlfn.IFS(E13=0, "0", E13&lt;=4, "10", E13&lt;=10, "23", E13&lt;=15, "25", E13&lt;=20, "28",E13&lt;=25, "30", E13&lt;=30, "35", E13&lt;=40, "38")</f>
        <v>0</v>
      </c>
      <c r="G13" s="16" t="str" cm="1">
        <f t="array" ref="G13">_xlfn.IFS(E13=0, "0", E13&lt;=4, "5", E13&lt;=10, "12", E13&lt;=15, "13", E13&lt;=20, "14",E13&lt;=25, "15", E13&lt;=30, "16", E13&lt;=40, "17")</f>
        <v>0</v>
      </c>
      <c r="H13" s="12">
        <f t="shared" ref="H13:H76" si="0">E13+F13+G13</f>
        <v>0</v>
      </c>
      <c r="N13" s="11"/>
    </row>
    <row r="14" spans="1:14">
      <c r="A14" s="8">
        <v>3</v>
      </c>
      <c r="B14" s="8" t="s">
        <v>19</v>
      </c>
      <c r="C14" s="8" t="s">
        <v>20</v>
      </c>
      <c r="D14" s="8" t="s">
        <v>21</v>
      </c>
      <c r="E14" s="4">
        <v>21</v>
      </c>
      <c r="F14" s="12" t="str" cm="1">
        <f t="array" ref="F14">_xlfn.IFS(E14=0, "0", E14&lt;=4, "10", E14&lt;=10, "23", E14&lt;=15, "25", E14&lt;=20, "28",E14&lt;=25, "30", E14&lt;=30, "35", E14&lt;=40, "38")</f>
        <v>30</v>
      </c>
      <c r="G14" s="16" t="str" cm="1">
        <f t="array" ref="G14">_xlfn.IFS(E14=0, "0", E14&lt;=4, "5", E14&lt;=10, "12", E14&lt;=15, "13", E14&lt;=20, "14",E14&lt;=25, "15", E14&lt;=30, "16", E14&lt;=40, "17")</f>
        <v>15</v>
      </c>
      <c r="H14" s="12">
        <f t="shared" si="0"/>
        <v>66</v>
      </c>
      <c r="N14" s="11"/>
    </row>
    <row r="15" spans="1:14">
      <c r="A15" s="8">
        <v>4</v>
      </c>
      <c r="B15" s="8" t="s">
        <v>22</v>
      </c>
      <c r="C15" s="8" t="s">
        <v>23</v>
      </c>
      <c r="D15" s="8" t="s">
        <v>24</v>
      </c>
      <c r="E15" s="4">
        <v>21</v>
      </c>
      <c r="F15" s="12" t="str" cm="1">
        <f t="array" ref="F15">_xlfn.IFS(E15=0, "0", E15&lt;=4, "10", E15&lt;=10, "23", E15&lt;=15, "25", E15&lt;=20, "28",E15&lt;=25, "30", E15&lt;=30, "35", E15&lt;=40, "38")</f>
        <v>30</v>
      </c>
      <c r="G15" s="16" t="str" cm="1">
        <f t="array" ref="G15">_xlfn.IFS(E15=0, "0", E15&lt;=4, "5", E15&lt;=10, "12", E15&lt;=15, "13", E15&lt;=20, "14",E15&lt;=25, "15", E15&lt;=30, "16", E15&lt;=40, "17")</f>
        <v>15</v>
      </c>
      <c r="H15" s="12">
        <f t="shared" si="0"/>
        <v>66</v>
      </c>
      <c r="N15" s="11"/>
    </row>
    <row r="16" spans="1:14">
      <c r="A16" s="8">
        <v>5</v>
      </c>
      <c r="B16" s="8" t="s">
        <v>25</v>
      </c>
      <c r="C16" s="8" t="s">
        <v>26</v>
      </c>
      <c r="D16" s="8" t="s">
        <v>27</v>
      </c>
      <c r="E16" s="4">
        <v>9</v>
      </c>
      <c r="F16" s="12" t="str" cm="1">
        <f t="array" ref="F16">_xlfn.IFS(E16=0, "0", E16&lt;=4, "10", E16&lt;=10, "23", E16&lt;=15, "25", E16&lt;=20, "28",E16&lt;=25, "30", E16&lt;=30, "35", E16&lt;=40, "38")</f>
        <v>23</v>
      </c>
      <c r="G16" s="16" t="str" cm="1">
        <f t="array" ref="G16">_xlfn.IFS(E16=0, "0", E16&lt;=4, "5", E16&lt;=10, "12", E16&lt;=15, "13", E16&lt;=20, "14",E16&lt;=25, "15", E16&lt;=30, "16", E16&lt;=40, "17")</f>
        <v>12</v>
      </c>
      <c r="H16" s="12">
        <f t="shared" si="0"/>
        <v>44</v>
      </c>
      <c r="N16" s="11"/>
    </row>
    <row r="17" spans="1:14">
      <c r="A17" s="8">
        <v>6</v>
      </c>
      <c r="B17" s="8" t="s">
        <v>28</v>
      </c>
      <c r="C17" s="8" t="s">
        <v>29</v>
      </c>
      <c r="D17" s="8" t="s">
        <v>30</v>
      </c>
      <c r="E17" s="4">
        <v>20</v>
      </c>
      <c r="F17" s="12" t="str" cm="1">
        <f t="array" ref="F17">_xlfn.IFS(E17=0, "0", E17&lt;=4, "10", E17&lt;=10, "23", E17&lt;=15, "25", E17&lt;=20, "28",E17&lt;=25, "30", E17&lt;=30, "35", E17&lt;=40, "38")</f>
        <v>28</v>
      </c>
      <c r="G17" s="16" t="str" cm="1">
        <f t="array" ref="G17">_xlfn.IFS(E17=0, "0", E17&lt;=4, "5", E17&lt;=10, "12", E17&lt;=15, "13", E17&lt;=20, "14",E17&lt;=25, "15", E17&lt;=30, "16", E17&lt;=40, "17")</f>
        <v>14</v>
      </c>
      <c r="H17" s="12">
        <f t="shared" si="0"/>
        <v>62</v>
      </c>
      <c r="N17" s="11"/>
    </row>
    <row r="18" spans="1:14">
      <c r="A18" s="8">
        <v>7</v>
      </c>
      <c r="B18" s="8" t="s">
        <v>31</v>
      </c>
      <c r="C18" s="8" t="s">
        <v>32</v>
      </c>
      <c r="D18" s="8" t="s">
        <v>33</v>
      </c>
      <c r="E18" s="4">
        <v>14</v>
      </c>
      <c r="F18" s="12" t="str" cm="1">
        <f t="array" ref="F18">_xlfn.IFS(E18=0, "0", E18&lt;=4, "10", E18&lt;=10, "23", E18&lt;=15, "25", E18&lt;=20, "28",E18&lt;=25, "30", E18&lt;=30, "35", E18&lt;=40, "38")</f>
        <v>25</v>
      </c>
      <c r="G18" s="16" t="str" cm="1">
        <f t="array" ref="G18">_xlfn.IFS(E18=0, "0", E18&lt;=4, "5", E18&lt;=10, "12", E18&lt;=15, "13", E18&lt;=20, "14",E18&lt;=25, "15", E18&lt;=30, "16", E18&lt;=40, "17")</f>
        <v>13</v>
      </c>
      <c r="H18" s="12">
        <f t="shared" si="0"/>
        <v>52</v>
      </c>
      <c r="N18" s="11"/>
    </row>
    <row r="19" spans="1:14">
      <c r="A19" s="8">
        <v>8</v>
      </c>
      <c r="B19" s="8" t="s">
        <v>34</v>
      </c>
      <c r="C19" s="8" t="s">
        <v>35</v>
      </c>
      <c r="D19" s="8" t="s">
        <v>36</v>
      </c>
      <c r="E19" s="4">
        <v>24</v>
      </c>
      <c r="F19" s="12" t="str" cm="1">
        <f t="array" ref="F19">_xlfn.IFS(E19=0, "0", E19&lt;=4, "10", E19&lt;=10, "23", E19&lt;=15, "25", E19&lt;=20, "28",E19&lt;=25, "30", E19&lt;=30, "35", E19&lt;=40, "38")</f>
        <v>30</v>
      </c>
      <c r="G19" s="16">
        <v>16</v>
      </c>
      <c r="H19" s="12">
        <f t="shared" si="0"/>
        <v>70</v>
      </c>
      <c r="N19" s="11"/>
    </row>
    <row r="20" spans="1:14">
      <c r="A20" s="8">
        <v>9</v>
      </c>
      <c r="B20" s="8" t="s">
        <v>37</v>
      </c>
      <c r="C20" s="8" t="s">
        <v>38</v>
      </c>
      <c r="D20" s="8" t="s">
        <v>39</v>
      </c>
      <c r="E20" s="4">
        <v>12</v>
      </c>
      <c r="F20" s="12" t="str" cm="1">
        <f t="array" ref="F20">_xlfn.IFS(E20=0, "0", E20&lt;=4, "10", E20&lt;=10, "23", E20&lt;=15, "25", E20&lt;=20, "28",E20&lt;=25, "30", E20&lt;=30, "35", E20&lt;=40, "38")</f>
        <v>25</v>
      </c>
      <c r="G20" s="16" t="str" cm="1">
        <f t="array" ref="G20">_xlfn.IFS(E20=0, "0", E20&lt;=4, "5", E20&lt;=10, "12", E20&lt;=15, "13", E20&lt;=20, "14",E20&lt;=25, "15", E20&lt;=30, "16", E20&lt;=40, "17")</f>
        <v>13</v>
      </c>
      <c r="H20" s="12">
        <f t="shared" si="0"/>
        <v>50</v>
      </c>
      <c r="N20" s="11"/>
    </row>
    <row r="21" spans="1:14">
      <c r="A21" s="8">
        <v>10</v>
      </c>
      <c r="B21" s="8" t="s">
        <v>40</v>
      </c>
      <c r="C21" s="8" t="s">
        <v>41</v>
      </c>
      <c r="D21" s="8" t="s">
        <v>42</v>
      </c>
      <c r="E21" s="4">
        <v>20</v>
      </c>
      <c r="F21" s="12" t="str" cm="1">
        <f t="array" ref="F21">_xlfn.IFS(E21=0, "0", E21&lt;=4, "10", E21&lt;=10, "23", E21&lt;=15, "25", E21&lt;=20, "28",E21&lt;=25, "30", E21&lt;=30, "35", E21&lt;=40, "38")</f>
        <v>28</v>
      </c>
      <c r="G21" s="16" t="str" cm="1">
        <f t="array" ref="G21">_xlfn.IFS(E21=0, "0", E21&lt;=4, "5", E21&lt;=10, "12", E21&lt;=15, "13", E21&lt;=20, "14",E21&lt;=25, "15", E21&lt;=30, "16", E21&lt;=40, "17")</f>
        <v>14</v>
      </c>
      <c r="H21" s="12">
        <f t="shared" si="0"/>
        <v>62</v>
      </c>
      <c r="N21" s="11"/>
    </row>
    <row r="22" spans="1:14">
      <c r="A22" s="8">
        <v>11</v>
      </c>
      <c r="B22" s="8" t="s">
        <v>43</v>
      </c>
      <c r="C22" s="8" t="s">
        <v>44</v>
      </c>
      <c r="D22" s="8" t="s">
        <v>45</v>
      </c>
      <c r="E22" s="4"/>
      <c r="F22" s="12" t="str" cm="1">
        <f t="array" ref="F22">_xlfn.IFS(E22=0, "0", E22&lt;=4, "10", E22&lt;=10, "23", E22&lt;=15, "25", E22&lt;=20, "28",E22&lt;=25, "30", E22&lt;=30, "35", E22&lt;=40, "38")</f>
        <v>0</v>
      </c>
      <c r="G22" s="16" t="str" cm="1">
        <f t="array" ref="G22">_xlfn.IFS(E22=0, "0", E22&lt;=4, "5", E22&lt;=10, "12", E22&lt;=15, "13", E22&lt;=20, "14",E22&lt;=25, "15", E22&lt;=30, "16", E22&lt;=40, "17")</f>
        <v>0</v>
      </c>
      <c r="H22" s="12">
        <f t="shared" si="0"/>
        <v>0</v>
      </c>
      <c r="N22" s="11"/>
    </row>
    <row r="23" spans="1:14">
      <c r="A23" s="8">
        <v>12</v>
      </c>
      <c r="B23" s="8" t="s">
        <v>46</v>
      </c>
      <c r="C23" s="8" t="s">
        <v>47</v>
      </c>
      <c r="D23" s="8" t="s">
        <v>48</v>
      </c>
      <c r="E23" s="4">
        <v>21</v>
      </c>
      <c r="F23" s="12" t="str" cm="1">
        <f t="array" ref="F23">_xlfn.IFS(E23=0, "0", E23&lt;=4, "10", E23&lt;=10, "23", E23&lt;=15, "25", E23&lt;=20, "28",E23&lt;=25, "30", E23&lt;=30, "35", E23&lt;=40, "38")</f>
        <v>30</v>
      </c>
      <c r="G23" s="16" t="str" cm="1">
        <f t="array" ref="G23">_xlfn.IFS(E23=0, "0", E23&lt;=4, "5", E23&lt;=10, "12", E23&lt;=15, "13", E23&lt;=20, "14",E23&lt;=25, "15", E23&lt;=30, "16", E23&lt;=40, "17")</f>
        <v>15</v>
      </c>
      <c r="H23" s="12">
        <f t="shared" si="0"/>
        <v>66</v>
      </c>
      <c r="N23" s="11"/>
    </row>
    <row r="24" spans="1:14">
      <c r="A24" s="8">
        <v>13</v>
      </c>
      <c r="B24" s="8" t="s">
        <v>49</v>
      </c>
      <c r="C24" s="8" t="s">
        <v>50</v>
      </c>
      <c r="D24" s="8" t="s">
        <v>45</v>
      </c>
      <c r="E24" s="4">
        <v>40</v>
      </c>
      <c r="F24" s="12" t="str" cm="1">
        <f t="array" ref="F24">_xlfn.IFS(E24=0, "0", E24&lt;=4, "10", E24&lt;=10, "23", E24&lt;=15, "25", E24&lt;=20, "28",E24&lt;=25, "30", E24&lt;=30, "35", E24&lt;=40, "38")</f>
        <v>38</v>
      </c>
      <c r="G24" s="16" t="str" cm="1">
        <f t="array" ref="G24">_xlfn.IFS(E24=0, "0", E24&lt;=4, "5", E24&lt;=10, "12", E24&lt;=15, "13", E24&lt;=20, "14",E24&lt;=25, "15", E24&lt;=30, "16", E24&lt;=40, "17")</f>
        <v>17</v>
      </c>
      <c r="H24" s="12">
        <f t="shared" si="0"/>
        <v>95</v>
      </c>
      <c r="N24" s="11"/>
    </row>
    <row r="25" spans="1:14">
      <c r="A25" s="8">
        <v>14</v>
      </c>
      <c r="B25" s="8" t="s">
        <v>51</v>
      </c>
      <c r="C25" s="8" t="s">
        <v>52</v>
      </c>
      <c r="D25" s="8" t="s">
        <v>53</v>
      </c>
      <c r="E25" s="4">
        <v>24</v>
      </c>
      <c r="F25" s="12" t="str" cm="1">
        <f t="array" ref="F25">_xlfn.IFS(E25=0, "0", E25&lt;=4, "10", E25&lt;=10, "23", E25&lt;=15, "25", E25&lt;=20, "28",E25&lt;=25, "30", E25&lt;=30, "35", E25&lt;=40, "38")</f>
        <v>30</v>
      </c>
      <c r="G25" s="16">
        <v>16</v>
      </c>
      <c r="H25" s="12">
        <f t="shared" si="0"/>
        <v>70</v>
      </c>
      <c r="N25" s="11"/>
    </row>
    <row r="26" spans="1:14">
      <c r="A26" s="8">
        <v>15</v>
      </c>
      <c r="B26" s="8" t="s">
        <v>54</v>
      </c>
      <c r="C26" s="8" t="s">
        <v>55</v>
      </c>
      <c r="D26" s="8" t="s">
        <v>56</v>
      </c>
      <c r="E26" s="4">
        <v>18</v>
      </c>
      <c r="F26" s="12" t="str" cm="1">
        <f t="array" ref="F26">_xlfn.IFS(E26=0, "0", E26&lt;=4, "10", E26&lt;=10, "23", E26&lt;=15, "25", E26&lt;=20, "28",E26&lt;=25, "30", E26&lt;=30, "35", E26&lt;=40, "38")</f>
        <v>28</v>
      </c>
      <c r="G26" s="16" t="str" cm="1">
        <f t="array" ref="G26">_xlfn.IFS(E26=0, "0", E26&lt;=4, "5", E26&lt;=10, "12", E26&lt;=15, "13", E26&lt;=20, "14",E26&lt;=25, "15", E26&lt;=30, "16", E26&lt;=40, "17")</f>
        <v>14</v>
      </c>
      <c r="H26" s="12">
        <f t="shared" si="0"/>
        <v>60</v>
      </c>
      <c r="N26" s="11"/>
    </row>
    <row r="27" spans="1:14">
      <c r="A27" s="8">
        <v>16</v>
      </c>
      <c r="B27" s="8" t="s">
        <v>57</v>
      </c>
      <c r="C27" s="8" t="s">
        <v>58</v>
      </c>
      <c r="D27" s="8" t="s">
        <v>59</v>
      </c>
      <c r="E27" s="4">
        <v>16</v>
      </c>
      <c r="F27" s="12" t="str" cm="1">
        <f t="array" ref="F27">_xlfn.IFS(E27=0, "0", E27&lt;=4, "10", E27&lt;=10, "23", E27&lt;=15, "25", E27&lt;=20, "28",E27&lt;=25, "30", E27&lt;=30, "35", E27&lt;=40, "38")</f>
        <v>28</v>
      </c>
      <c r="G27" s="16" t="str" cm="1">
        <f t="array" ref="G27">_xlfn.IFS(E27=0, "0", E27&lt;=4, "5", E27&lt;=10, "12", E27&lt;=15, "13", E27&lt;=20, "14",E27&lt;=25, "15", E27&lt;=30, "16", E27&lt;=40, "17")</f>
        <v>14</v>
      </c>
      <c r="H27" s="12">
        <f t="shared" si="0"/>
        <v>58</v>
      </c>
      <c r="N27" s="11"/>
    </row>
    <row r="28" spans="1:14">
      <c r="A28" s="8">
        <v>17</v>
      </c>
      <c r="B28" s="8" t="s">
        <v>60</v>
      </c>
      <c r="C28" s="8" t="s">
        <v>61</v>
      </c>
      <c r="D28" s="8" t="s">
        <v>62</v>
      </c>
      <c r="E28" s="4">
        <v>21</v>
      </c>
      <c r="F28" s="12" t="str" cm="1">
        <f t="array" ref="F28">_xlfn.IFS(E28=0, "0", E28&lt;=4, "10", E28&lt;=10, "23", E28&lt;=15, "25", E28&lt;=20, "28",E28&lt;=25, "30", E28&lt;=30, "35", E28&lt;=40, "38")</f>
        <v>30</v>
      </c>
      <c r="G28" s="16" t="str" cm="1">
        <f t="array" ref="G28">_xlfn.IFS(E28=0, "0", E28&lt;=4, "5", E28&lt;=10, "12", E28&lt;=15, "13", E28&lt;=20, "14",E28&lt;=25, "15", E28&lt;=30, "16", E28&lt;=40, "17")</f>
        <v>15</v>
      </c>
      <c r="H28" s="12">
        <f t="shared" si="0"/>
        <v>66</v>
      </c>
      <c r="N28" s="11"/>
    </row>
    <row r="29" spans="1:14">
      <c r="A29" s="8">
        <v>18</v>
      </c>
      <c r="B29" s="8" t="s">
        <v>63</v>
      </c>
      <c r="C29" s="8" t="s">
        <v>64</v>
      </c>
      <c r="D29" s="8" t="s">
        <v>65</v>
      </c>
      <c r="E29" s="4">
        <v>11</v>
      </c>
      <c r="F29" s="12" t="str" cm="1">
        <f t="array" ref="F29">_xlfn.IFS(E29=0, "0", E29&lt;=4, "10", E29&lt;=10, "23", E29&lt;=15, "25", E29&lt;=20, "28",E29&lt;=25, "30", E29&lt;=30, "35", E29&lt;=40, "38")</f>
        <v>25</v>
      </c>
      <c r="G29" s="16">
        <v>14</v>
      </c>
      <c r="H29" s="12">
        <f t="shared" si="0"/>
        <v>50</v>
      </c>
      <c r="N29" s="11"/>
    </row>
    <row r="30" spans="1:14">
      <c r="A30" s="8">
        <v>19</v>
      </c>
      <c r="B30" s="8" t="s">
        <v>66</v>
      </c>
      <c r="C30" s="8" t="s">
        <v>67</v>
      </c>
      <c r="D30" s="8" t="s">
        <v>39</v>
      </c>
      <c r="E30" s="4">
        <v>22</v>
      </c>
      <c r="F30" s="12" t="str" cm="1">
        <f t="array" ref="F30">_xlfn.IFS(E30=0, "0", E30&lt;=4, "10", E30&lt;=10, "23", E30&lt;=15, "25", E30&lt;=20, "28",E30&lt;=25, "30", E30&lt;=30, "35", E30&lt;=40, "38")</f>
        <v>30</v>
      </c>
      <c r="G30" s="16" t="str" cm="1">
        <f t="array" ref="G30">_xlfn.IFS(E30=0, "0", E30&lt;=4, "5", E30&lt;=10, "12", E30&lt;=15, "13", E30&lt;=20, "14",E30&lt;=25, "15", E30&lt;=30, "16", E30&lt;=40, "17")</f>
        <v>15</v>
      </c>
      <c r="H30" s="12">
        <f t="shared" si="0"/>
        <v>67</v>
      </c>
      <c r="N30" s="11"/>
    </row>
    <row r="31" spans="1:14">
      <c r="A31" s="8">
        <v>20</v>
      </c>
      <c r="B31" s="8" t="s">
        <v>68</v>
      </c>
      <c r="C31" s="8" t="s">
        <v>69</v>
      </c>
      <c r="D31" s="8" t="s">
        <v>70</v>
      </c>
      <c r="E31" s="4">
        <v>30</v>
      </c>
      <c r="F31" s="12" t="str" cm="1">
        <f t="array" ref="F31">_xlfn.IFS(E31=0, "0", E31&lt;=4, "10", E31&lt;=10, "23", E31&lt;=15, "25", E31&lt;=20, "28",E31&lt;=25, "30", E31&lt;=30, "35", E31&lt;=40, "38")</f>
        <v>35</v>
      </c>
      <c r="G31" s="16" t="str" cm="1">
        <f t="array" ref="G31">_xlfn.IFS(E31=0, "0", E31&lt;=4, "5", E31&lt;=10, "12", E31&lt;=15, "13", E31&lt;=20, "14",E31&lt;=25, "15", E31&lt;=30, "16", E31&lt;=40, "17")</f>
        <v>16</v>
      </c>
      <c r="H31" s="12">
        <f t="shared" si="0"/>
        <v>81</v>
      </c>
      <c r="N31" s="11"/>
    </row>
    <row r="32" spans="1:14">
      <c r="A32" s="8">
        <v>21</v>
      </c>
      <c r="B32" s="8" t="s">
        <v>71</v>
      </c>
      <c r="C32" s="8" t="s">
        <v>72</v>
      </c>
      <c r="D32" s="8" t="s">
        <v>73</v>
      </c>
      <c r="E32" s="4">
        <v>16</v>
      </c>
      <c r="F32" s="12" t="str" cm="1">
        <f t="array" ref="F32">_xlfn.IFS(E32=0, "0", E32&lt;=4, "10", E32&lt;=10, "23", E32&lt;=15, "25", E32&lt;=20, "28",E32&lt;=25, "30", E32&lt;=30, "35", E32&lt;=40, "38")</f>
        <v>28</v>
      </c>
      <c r="G32" s="16" t="str" cm="1">
        <f t="array" ref="G32">_xlfn.IFS(E32=0, "0", E32&lt;=4, "5", E32&lt;=10, "12", E32&lt;=15, "13", E32&lt;=20, "14",E32&lt;=25, "15", E32&lt;=30, "16", E32&lt;=40, "17")</f>
        <v>14</v>
      </c>
      <c r="H32" s="12">
        <f t="shared" si="0"/>
        <v>58</v>
      </c>
      <c r="N32" s="11"/>
    </row>
    <row r="33" spans="1:14">
      <c r="A33" s="8">
        <v>22</v>
      </c>
      <c r="B33" s="8" t="s">
        <v>74</v>
      </c>
      <c r="C33" s="8" t="s">
        <v>75</v>
      </c>
      <c r="D33" s="8" t="s">
        <v>76</v>
      </c>
      <c r="E33" s="4">
        <v>21</v>
      </c>
      <c r="F33" s="12" t="str" cm="1">
        <f t="array" ref="F33">_xlfn.IFS(E33=0, "0", E33&lt;=4, "10", E33&lt;=10, "23", E33&lt;=15, "25", E33&lt;=20, "28",E33&lt;=25, "30", E33&lt;=30, "35", E33&lt;=40, "38")</f>
        <v>30</v>
      </c>
      <c r="G33" s="16" t="str" cm="1">
        <f t="array" ref="G33">_xlfn.IFS(E33=0, "0", E33&lt;=4, "5", E33&lt;=10, "12", E33&lt;=15, "13", E33&lt;=20, "14",E33&lt;=25, "15", E33&lt;=30, "16", E33&lt;=40, "17")</f>
        <v>15</v>
      </c>
      <c r="H33" s="12">
        <f t="shared" si="0"/>
        <v>66</v>
      </c>
      <c r="N33" s="11"/>
    </row>
    <row r="34" spans="1:14">
      <c r="A34" s="8">
        <v>23</v>
      </c>
      <c r="B34" s="8" t="s">
        <v>77</v>
      </c>
      <c r="C34" s="8" t="s">
        <v>78</v>
      </c>
      <c r="D34" s="8" t="s">
        <v>79</v>
      </c>
      <c r="E34" s="4">
        <v>15</v>
      </c>
      <c r="F34" s="12" t="str" cm="1">
        <f t="array" ref="F34">_xlfn.IFS(E34=0, "0", E34&lt;=4, "10", E34&lt;=10, "23", E34&lt;=15, "25", E34&lt;=20, "28",E34&lt;=25, "30", E34&lt;=30, "35", E34&lt;=40, "38")</f>
        <v>25</v>
      </c>
      <c r="G34" s="16" t="str" cm="1">
        <f t="array" ref="G34">_xlfn.IFS(E34=0, "0", E34&lt;=4, "5", E34&lt;=10, "12", E34&lt;=15, "13", E34&lt;=20, "14",E34&lt;=25, "15", E34&lt;=30, "16", E34&lt;=40, "17")</f>
        <v>13</v>
      </c>
      <c r="H34" s="12">
        <f t="shared" si="0"/>
        <v>53</v>
      </c>
      <c r="N34" s="11"/>
    </row>
    <row r="35" spans="1:14">
      <c r="A35" s="8">
        <v>24</v>
      </c>
      <c r="B35" s="8" t="s">
        <v>80</v>
      </c>
      <c r="C35" s="8" t="s">
        <v>81</v>
      </c>
      <c r="D35" s="8" t="s">
        <v>82</v>
      </c>
      <c r="E35" s="4">
        <v>26</v>
      </c>
      <c r="F35" s="12" t="str" cm="1">
        <f t="array" ref="F35">_xlfn.IFS(E35=0, "0", E35&lt;=4, "10", E35&lt;=10, "23", E35&lt;=15, "25", E35&lt;=20, "28",E35&lt;=25, "30", E35&lt;=30, "35", E35&lt;=40, "38")</f>
        <v>35</v>
      </c>
      <c r="G35" s="16" t="str" cm="1">
        <f t="array" ref="G35">_xlfn.IFS(E35=0, "0", E35&lt;=4, "5", E35&lt;=10, "12", E35&lt;=15, "13", E35&lt;=20, "14",E35&lt;=25, "15", E35&lt;=30, "16", E35&lt;=40, "17")</f>
        <v>16</v>
      </c>
      <c r="H35" s="12">
        <f t="shared" si="0"/>
        <v>77</v>
      </c>
      <c r="N35" s="11"/>
    </row>
    <row r="36" spans="1:14">
      <c r="A36" s="8">
        <v>25</v>
      </c>
      <c r="B36" s="8" t="s">
        <v>83</v>
      </c>
      <c r="C36" s="8" t="s">
        <v>84</v>
      </c>
      <c r="D36" s="8" t="s">
        <v>56</v>
      </c>
      <c r="E36" s="4">
        <v>29</v>
      </c>
      <c r="F36" s="12" t="str" cm="1">
        <f t="array" ref="F36">_xlfn.IFS(E36=0, "0", E36&lt;=4, "10", E36&lt;=10, "23", E36&lt;=15, "25", E36&lt;=20, "28",E36&lt;=25, "30", E36&lt;=30, "35", E36&lt;=40, "38")</f>
        <v>35</v>
      </c>
      <c r="G36" s="16" t="str" cm="1">
        <f t="array" ref="G36">_xlfn.IFS(E36=0, "0", E36&lt;=4, "5", E36&lt;=10, "12", E36&lt;=15, "13", E36&lt;=20, "14",E36&lt;=25, "15", E36&lt;=30, "16", E36&lt;=40, "17")</f>
        <v>16</v>
      </c>
      <c r="H36" s="12">
        <f t="shared" si="0"/>
        <v>80</v>
      </c>
      <c r="N36" s="11"/>
    </row>
    <row r="37" spans="1:14">
      <c r="A37" s="8">
        <v>26</v>
      </c>
      <c r="B37" s="8" t="s">
        <v>85</v>
      </c>
      <c r="C37" s="8" t="s">
        <v>86</v>
      </c>
      <c r="D37" s="8" t="s">
        <v>87</v>
      </c>
      <c r="E37" s="4">
        <v>21</v>
      </c>
      <c r="F37" s="12" t="str" cm="1">
        <f t="array" ref="F37">_xlfn.IFS(E37=0, "0", E37&lt;=4, "10", E37&lt;=10, "23", E37&lt;=15, "25", E37&lt;=20, "28",E37&lt;=25, "30", E37&lt;=30, "35", E37&lt;=40, "38")</f>
        <v>30</v>
      </c>
      <c r="G37" s="16" t="str" cm="1">
        <f t="array" ref="G37">_xlfn.IFS(E37=0, "0", E37&lt;=4, "5", E37&lt;=10, "12", E37&lt;=15, "13", E37&lt;=20, "14",E37&lt;=25, "15", E37&lt;=30, "16", E37&lt;=40, "17")</f>
        <v>15</v>
      </c>
      <c r="H37" s="12">
        <f t="shared" si="0"/>
        <v>66</v>
      </c>
      <c r="N37" s="11"/>
    </row>
    <row r="38" spans="1:14">
      <c r="A38" s="8">
        <v>27</v>
      </c>
      <c r="B38" s="8" t="s">
        <v>88</v>
      </c>
      <c r="C38" s="8" t="s">
        <v>89</v>
      </c>
      <c r="D38" s="8" t="s">
        <v>90</v>
      </c>
      <c r="E38" s="4">
        <v>18</v>
      </c>
      <c r="F38" s="12" t="str" cm="1">
        <f t="array" ref="F38">_xlfn.IFS(E38=0, "0", E38&lt;=4, "10", E38&lt;=10, "23", E38&lt;=15, "25", E38&lt;=20, "28",E38&lt;=25, "30", E38&lt;=30, "35", E38&lt;=40, "38")</f>
        <v>28</v>
      </c>
      <c r="G38" s="16" t="str" cm="1">
        <f t="array" ref="G38">_xlfn.IFS(E38=0, "0", E38&lt;=4, "5", E38&lt;=10, "12", E38&lt;=15, "13", E38&lt;=20, "14",E38&lt;=25, "15", E38&lt;=30, "16", E38&lt;=40, "17")</f>
        <v>14</v>
      </c>
      <c r="H38" s="12">
        <f t="shared" si="0"/>
        <v>60</v>
      </c>
      <c r="N38" s="11"/>
    </row>
    <row r="39" spans="1:14">
      <c r="A39" s="8">
        <v>28</v>
      </c>
      <c r="B39" s="8" t="s">
        <v>91</v>
      </c>
      <c r="C39" s="8" t="s">
        <v>92</v>
      </c>
      <c r="D39" s="8" t="s">
        <v>93</v>
      </c>
      <c r="E39" s="4">
        <v>30</v>
      </c>
      <c r="F39" s="12" t="str" cm="1">
        <f t="array" ref="F39">_xlfn.IFS(E39=0, "0", E39&lt;=4, "10", E39&lt;=10, "23", E39&lt;=15, "25", E39&lt;=20, "28",E39&lt;=25, "30", E39&lt;=30, "35", E39&lt;=40, "38")</f>
        <v>35</v>
      </c>
      <c r="G39" s="16" t="str" cm="1">
        <f t="array" ref="G39">_xlfn.IFS(E39=0, "0", E39&lt;=4, "5", E39&lt;=10, "12", E39&lt;=15, "13", E39&lt;=20, "14",E39&lt;=25, "15", E39&lt;=30, "16", E39&lt;=40, "17")</f>
        <v>16</v>
      </c>
      <c r="H39" s="12">
        <f t="shared" si="0"/>
        <v>81</v>
      </c>
      <c r="N39" s="11"/>
    </row>
    <row r="40" spans="1:14">
      <c r="A40" s="8">
        <v>29</v>
      </c>
      <c r="B40" s="8" t="s">
        <v>94</v>
      </c>
      <c r="C40" s="8" t="s">
        <v>95</v>
      </c>
      <c r="D40" s="8" t="s">
        <v>96</v>
      </c>
      <c r="E40" s="4">
        <v>27</v>
      </c>
      <c r="F40" s="12" t="str" cm="1">
        <f t="array" ref="F40">_xlfn.IFS(E40=0, "0", E40&lt;=4, "10", E40&lt;=10, "23", E40&lt;=15, "25", E40&lt;=20, "28",E40&lt;=25, "30", E40&lt;=30, "35", E40&lt;=40, "38")</f>
        <v>35</v>
      </c>
      <c r="G40" s="16" t="str" cm="1">
        <f t="array" ref="G40">_xlfn.IFS(E40=0, "0", E40&lt;=4, "5", E40&lt;=10, "12", E40&lt;=15, "13", E40&lt;=20, "14",E40&lt;=25, "15", E40&lt;=30, "16", E40&lt;=40, "17")</f>
        <v>16</v>
      </c>
      <c r="H40" s="12">
        <f t="shared" si="0"/>
        <v>78</v>
      </c>
      <c r="N40" s="11"/>
    </row>
    <row r="41" spans="1:14">
      <c r="A41" s="8">
        <v>30</v>
      </c>
      <c r="B41" s="8" t="s">
        <v>97</v>
      </c>
      <c r="C41" s="8" t="s">
        <v>98</v>
      </c>
      <c r="D41" s="8" t="s">
        <v>99</v>
      </c>
      <c r="E41" s="4">
        <v>4</v>
      </c>
      <c r="F41" s="12" t="str" cm="1">
        <f t="array" ref="F41">_xlfn.IFS(E41=0, "0", E41&lt;=4, "10", E41&lt;=10, "23", E41&lt;=15, "25", E41&lt;=20, "28",E41&lt;=25, "30", E41&lt;=30, "35", E41&lt;=40, "38")</f>
        <v>10</v>
      </c>
      <c r="G41" s="16" t="str" cm="1">
        <f t="array" ref="G41">_xlfn.IFS(E41=0, "0", E41&lt;=4, "5", E41&lt;=10, "12", E41&lt;=15, "13", E41&lt;=20, "14",E41&lt;=25, "15", E41&lt;=30, "16", E41&lt;=40, "17")</f>
        <v>5</v>
      </c>
      <c r="H41" s="12">
        <f t="shared" si="0"/>
        <v>19</v>
      </c>
      <c r="N41" s="11"/>
    </row>
    <row r="42" spans="1:14">
      <c r="A42" s="8">
        <v>31</v>
      </c>
      <c r="B42" s="8" t="s">
        <v>100</v>
      </c>
      <c r="C42" s="8" t="s">
        <v>101</v>
      </c>
      <c r="D42" s="8" t="s">
        <v>102</v>
      </c>
      <c r="E42" s="4">
        <v>7</v>
      </c>
      <c r="F42" s="12" t="str" cm="1">
        <f t="array" ref="F42">_xlfn.IFS(E42=0, "0", E42&lt;=4, "10", E42&lt;=10, "23", E42&lt;=15, "25", E42&lt;=20, "28",E42&lt;=25, "30", E42&lt;=30, "35", E42&lt;=40, "38")</f>
        <v>23</v>
      </c>
      <c r="G42" s="16" t="str" cm="1">
        <f t="array" ref="G42">_xlfn.IFS(E42=0, "0", E42&lt;=4, "5", E42&lt;=10, "12", E42&lt;=15, "13", E42&lt;=20, "14",E42&lt;=25, "15", E42&lt;=30, "16", E42&lt;=40, "17")</f>
        <v>12</v>
      </c>
      <c r="H42" s="12">
        <f t="shared" si="0"/>
        <v>42</v>
      </c>
      <c r="N42" s="11"/>
    </row>
    <row r="43" spans="1:14">
      <c r="A43" s="8">
        <v>32</v>
      </c>
      <c r="B43" s="8" t="s">
        <v>103</v>
      </c>
      <c r="C43" s="8" t="s">
        <v>104</v>
      </c>
      <c r="D43" s="8" t="s">
        <v>18</v>
      </c>
      <c r="E43" s="4">
        <v>13</v>
      </c>
      <c r="F43" s="12" t="str" cm="1">
        <f t="array" ref="F43">_xlfn.IFS(E43=0, "0", E43&lt;=4, "10", E43&lt;=10, "23", E43&lt;=15, "25", E43&lt;=20, "28",E43&lt;=25, "30", E43&lt;=30, "35", E43&lt;=40, "38")</f>
        <v>25</v>
      </c>
      <c r="G43" s="16" t="str" cm="1">
        <f t="array" ref="G43">_xlfn.IFS(E43=0, "0", E43&lt;=4, "5", E43&lt;=10, "12", E43&lt;=15, "13", E43&lt;=20, "14",E43&lt;=25, "15", E43&lt;=30, "16", E43&lt;=40, "17")</f>
        <v>13</v>
      </c>
      <c r="H43" s="12">
        <f t="shared" si="0"/>
        <v>51</v>
      </c>
      <c r="N43" s="11"/>
    </row>
    <row r="44" spans="1:14">
      <c r="A44" s="8">
        <v>33</v>
      </c>
      <c r="B44" s="8" t="s">
        <v>105</v>
      </c>
      <c r="C44" s="8" t="s">
        <v>106</v>
      </c>
      <c r="D44" s="8" t="s">
        <v>107</v>
      </c>
      <c r="E44" s="4">
        <v>2</v>
      </c>
      <c r="F44" s="12" t="str" cm="1">
        <f t="array" ref="F44">_xlfn.IFS(E44=0, "0", E44&lt;=4, "10", E44&lt;=10, "23", E44&lt;=15, "25", E44&lt;=20, "28",E44&lt;=25, "30", E44&lt;=30, "35", E44&lt;=40, "38")</f>
        <v>10</v>
      </c>
      <c r="G44" s="16" t="str" cm="1">
        <f t="array" ref="G44">_xlfn.IFS(E44=0, "0", E44&lt;=4, "5", E44&lt;=10, "12", E44&lt;=15, "13", E44&lt;=20, "14",E44&lt;=25, "15", E44&lt;=30, "16", E44&lt;=40, "17")</f>
        <v>5</v>
      </c>
      <c r="H44" s="12">
        <f t="shared" si="0"/>
        <v>17</v>
      </c>
      <c r="N44" s="11"/>
    </row>
    <row r="45" spans="1:14">
      <c r="A45" s="8">
        <v>34</v>
      </c>
      <c r="B45" s="8" t="s">
        <v>108</v>
      </c>
      <c r="C45" s="8" t="s">
        <v>109</v>
      </c>
      <c r="D45" s="8" t="s">
        <v>110</v>
      </c>
      <c r="E45" s="4">
        <v>22</v>
      </c>
      <c r="F45" s="12" t="str" cm="1">
        <f t="array" ref="F45">_xlfn.IFS(E45=0, "0", E45&lt;=4, "10", E45&lt;=10, "23", E45&lt;=15, "25", E45&lt;=20, "28",E45&lt;=25, "30", E45&lt;=30, "35", E45&lt;=40, "38")</f>
        <v>30</v>
      </c>
      <c r="G45" s="16" t="str" cm="1">
        <f t="array" ref="G45">_xlfn.IFS(E45=0, "0", E45&lt;=4, "5", E45&lt;=10, "12", E45&lt;=15, "13", E45&lt;=20, "14",E45&lt;=25, "15", E45&lt;=30, "16", E45&lt;=40, "17")</f>
        <v>15</v>
      </c>
      <c r="H45" s="12">
        <f t="shared" si="0"/>
        <v>67</v>
      </c>
      <c r="N45" s="11"/>
    </row>
    <row r="46" spans="1:14">
      <c r="A46" s="8">
        <v>35</v>
      </c>
      <c r="B46" s="8" t="s">
        <v>111</v>
      </c>
      <c r="C46" s="8" t="s">
        <v>112</v>
      </c>
      <c r="D46" s="8" t="s">
        <v>113</v>
      </c>
      <c r="E46" s="4">
        <v>23</v>
      </c>
      <c r="F46" s="12" t="str" cm="1">
        <f t="array" ref="F46">_xlfn.IFS(E46=0, "0", E46&lt;=4, "10", E46&lt;=10, "23", E46&lt;=15, "25", E46&lt;=20, "28",E46&lt;=25, "30", E46&lt;=30, "35", E46&lt;=40, "38")</f>
        <v>30</v>
      </c>
      <c r="G46" s="16" t="str" cm="1">
        <f t="array" ref="G46">_xlfn.IFS(E46=0, "0", E46&lt;=4, "5", E46&lt;=10, "12", E46&lt;=15, "13", E46&lt;=20, "14",E46&lt;=25, "15", E46&lt;=30, "16", E46&lt;=40, "17")</f>
        <v>15</v>
      </c>
      <c r="H46" s="12">
        <f t="shared" si="0"/>
        <v>68</v>
      </c>
      <c r="N46" s="11"/>
    </row>
    <row r="47" spans="1:14">
      <c r="A47" s="8">
        <v>36</v>
      </c>
      <c r="B47" s="8" t="s">
        <v>114</v>
      </c>
      <c r="C47" s="8" t="s">
        <v>115</v>
      </c>
      <c r="D47" s="8" t="s">
        <v>116</v>
      </c>
      <c r="E47" s="4">
        <v>20</v>
      </c>
      <c r="F47" s="12" t="str" cm="1">
        <f t="array" ref="F47">_xlfn.IFS(E47=0, "0", E47&lt;=4, "10", E47&lt;=10, "23", E47&lt;=15, "25", E47&lt;=20, "28",E47&lt;=25, "30", E47&lt;=30, "35", E47&lt;=40, "38")</f>
        <v>28</v>
      </c>
      <c r="G47" s="16" t="str" cm="1">
        <f t="array" ref="G47">_xlfn.IFS(E47=0, "0", E47&lt;=4, "5", E47&lt;=10, "12", E47&lt;=15, "13", E47&lt;=20, "14",E47&lt;=25, "15", E47&lt;=30, "16", E47&lt;=40, "17")</f>
        <v>14</v>
      </c>
      <c r="H47" s="12">
        <f t="shared" si="0"/>
        <v>62</v>
      </c>
      <c r="N47" s="11"/>
    </row>
    <row r="48" spans="1:14">
      <c r="A48" s="8">
        <v>37</v>
      </c>
      <c r="B48" s="8" t="s">
        <v>117</v>
      </c>
      <c r="C48" s="8" t="s">
        <v>118</v>
      </c>
      <c r="D48" s="8" t="s">
        <v>119</v>
      </c>
      <c r="E48" s="4"/>
      <c r="F48" s="12" t="str" cm="1">
        <f t="array" ref="F48">_xlfn.IFS(E48=0, "0", E48&lt;=4, "10", E48&lt;=10, "23", E48&lt;=15, "25", E48&lt;=20, "28",E48&lt;=25, "30", E48&lt;=30, "35", E48&lt;=40, "38")</f>
        <v>0</v>
      </c>
      <c r="G48" s="16" t="str" cm="1">
        <f t="array" ref="G48">_xlfn.IFS(E48=0, "0", E48&lt;=4, "5", E48&lt;=10, "12", E48&lt;=15, "13", E48&lt;=20, "14",E48&lt;=25, "15", E48&lt;=30, "16", E48&lt;=40, "17")</f>
        <v>0</v>
      </c>
      <c r="H48" s="12">
        <f t="shared" si="0"/>
        <v>0</v>
      </c>
      <c r="N48" s="11"/>
    </row>
    <row r="49" spans="1:14">
      <c r="A49" s="8">
        <v>38</v>
      </c>
      <c r="B49" s="8" t="s">
        <v>120</v>
      </c>
      <c r="C49" s="8" t="s">
        <v>121</v>
      </c>
      <c r="D49" s="8" t="s">
        <v>122</v>
      </c>
      <c r="E49" s="4">
        <v>1</v>
      </c>
      <c r="F49" s="12" t="str" cm="1">
        <f t="array" ref="F49">_xlfn.IFS(E49=0, "0", E49&lt;=4, "10", E49&lt;=10, "23", E49&lt;=15, "25", E49&lt;=20, "28",E49&lt;=25, "30", E49&lt;=30, "35", E49&lt;=40, "38")</f>
        <v>10</v>
      </c>
      <c r="G49" s="16" t="str" cm="1">
        <f t="array" ref="G49">_xlfn.IFS(E49=0, "0", E49&lt;=4, "5", E49&lt;=10, "12", E49&lt;=15, "13", E49&lt;=20, "14",E49&lt;=25, "15", E49&lt;=30, "16", E49&lt;=40, "17")</f>
        <v>5</v>
      </c>
      <c r="H49" s="12">
        <f t="shared" si="0"/>
        <v>16</v>
      </c>
      <c r="N49" s="11"/>
    </row>
    <row r="50" spans="1:14">
      <c r="A50" s="8">
        <v>39</v>
      </c>
      <c r="B50" s="8" t="s">
        <v>123</v>
      </c>
      <c r="C50" s="8" t="s">
        <v>124</v>
      </c>
      <c r="D50" s="8" t="s">
        <v>59</v>
      </c>
      <c r="E50" s="4">
        <v>18</v>
      </c>
      <c r="F50" s="12" t="str" cm="1">
        <f t="array" ref="F50">_xlfn.IFS(E50=0, "0", E50&lt;=4, "10", E50&lt;=10, "23", E50&lt;=15, "25", E50&lt;=20, "28",E50&lt;=25, "30", E50&lt;=30, "35", E50&lt;=40, "38")</f>
        <v>28</v>
      </c>
      <c r="G50" s="16" t="str" cm="1">
        <f t="array" ref="G50">_xlfn.IFS(E50=0, "0", E50&lt;=4, "5", E50&lt;=10, "12", E50&lt;=15, "13", E50&lt;=20, "14",E50&lt;=25, "15", E50&lt;=30, "16", E50&lt;=40, "17")</f>
        <v>14</v>
      </c>
      <c r="H50" s="12">
        <f t="shared" si="0"/>
        <v>60</v>
      </c>
      <c r="N50" s="11"/>
    </row>
    <row r="51" spans="1:14">
      <c r="A51" s="8">
        <v>40</v>
      </c>
      <c r="B51" s="8" t="s">
        <v>125</v>
      </c>
      <c r="C51" s="8" t="s">
        <v>126</v>
      </c>
      <c r="D51" s="8" t="s">
        <v>127</v>
      </c>
      <c r="E51" s="4">
        <v>19</v>
      </c>
      <c r="F51" s="12" t="str" cm="1">
        <f t="array" ref="F51">_xlfn.IFS(E51=0, "0", E51&lt;=4, "10", E51&lt;=10, "23", E51&lt;=15, "25", E51&lt;=20, "28",E51&lt;=25, "30", E51&lt;=30, "35", E51&lt;=40, "38")</f>
        <v>28</v>
      </c>
      <c r="G51" s="16" t="str" cm="1">
        <f t="array" ref="G51">_xlfn.IFS(E51=0, "0", E51&lt;=4, "5", E51&lt;=10, "12", E51&lt;=15, "13", E51&lt;=20, "14",E51&lt;=25, "15", E51&lt;=30, "16", E51&lt;=40, "17")</f>
        <v>14</v>
      </c>
      <c r="H51" s="12">
        <f t="shared" si="0"/>
        <v>61</v>
      </c>
      <c r="N51" s="11"/>
    </row>
    <row r="52" spans="1:14">
      <c r="A52" s="8">
        <v>41</v>
      </c>
      <c r="B52" s="8" t="s">
        <v>128</v>
      </c>
      <c r="C52" s="8" t="s">
        <v>129</v>
      </c>
      <c r="D52" s="8" t="s">
        <v>56</v>
      </c>
      <c r="E52" s="4">
        <v>34</v>
      </c>
      <c r="F52" s="12" t="str" cm="1">
        <f t="array" ref="F52">_xlfn.IFS(E52=0, "0", E52&lt;=4, "10", E52&lt;=10, "23", E52&lt;=15, "25", E52&lt;=20, "28",E52&lt;=25, "30", E52&lt;=30, "35", E52&lt;=40, "38")</f>
        <v>38</v>
      </c>
      <c r="G52" s="16" t="str" cm="1">
        <f t="array" ref="G52">_xlfn.IFS(E52=0, "0", E52&lt;=4, "5", E52&lt;=10, "12", E52&lt;=15, "13", E52&lt;=20, "14",E52&lt;=25, "15", E52&lt;=30, "16", E52&lt;=40, "17")</f>
        <v>17</v>
      </c>
      <c r="H52" s="12">
        <f t="shared" si="0"/>
        <v>89</v>
      </c>
      <c r="N52" s="11"/>
    </row>
    <row r="53" spans="1:14">
      <c r="A53" s="8">
        <v>42</v>
      </c>
      <c r="B53" s="8" t="s">
        <v>130</v>
      </c>
      <c r="C53" s="8" t="s">
        <v>131</v>
      </c>
      <c r="D53" s="8" t="s">
        <v>116</v>
      </c>
      <c r="E53" s="4">
        <v>24</v>
      </c>
      <c r="F53" s="12" t="str" cm="1">
        <f t="array" ref="F53">_xlfn.IFS(E53=0, "0", E53&lt;=4, "10", E53&lt;=10, "23", E53&lt;=15, "25", E53&lt;=20, "28",E53&lt;=25, "30", E53&lt;=30, "35", E53&lt;=40, "38")</f>
        <v>30</v>
      </c>
      <c r="G53" s="16">
        <v>16</v>
      </c>
      <c r="H53" s="12">
        <f t="shared" si="0"/>
        <v>70</v>
      </c>
      <c r="N53" s="11"/>
    </row>
    <row r="54" spans="1:14">
      <c r="A54" s="8">
        <v>43</v>
      </c>
      <c r="B54" s="8" t="s">
        <v>132</v>
      </c>
      <c r="C54" s="8" t="s">
        <v>133</v>
      </c>
      <c r="D54" s="8" t="s">
        <v>134</v>
      </c>
      <c r="E54" s="4"/>
      <c r="F54" s="12" t="str" cm="1">
        <f t="array" ref="F54">_xlfn.IFS(E54=0, "0", E54&lt;=4, "10", E54&lt;=10, "23", E54&lt;=15, "25", E54&lt;=20, "28",E54&lt;=25, "30", E54&lt;=30, "35", E54&lt;=40, "38")</f>
        <v>0</v>
      </c>
      <c r="G54" s="16" t="str" cm="1">
        <f t="array" ref="G54">_xlfn.IFS(E54=0, "0", E54&lt;=4, "5", E54&lt;=10, "12", E54&lt;=15, "13", E54&lt;=20, "14",E54&lt;=25, "15", E54&lt;=30, "16", E54&lt;=40, "17")</f>
        <v>0</v>
      </c>
      <c r="H54" s="12">
        <f t="shared" si="0"/>
        <v>0</v>
      </c>
      <c r="N54" s="11"/>
    </row>
    <row r="55" spans="1:14">
      <c r="A55" s="8">
        <v>44</v>
      </c>
      <c r="B55" s="8" t="s">
        <v>135</v>
      </c>
      <c r="C55" s="8" t="s">
        <v>136</v>
      </c>
      <c r="D55" s="8" t="s">
        <v>107</v>
      </c>
      <c r="E55" s="4">
        <v>6</v>
      </c>
      <c r="F55" s="12" t="str" cm="1">
        <f t="array" ref="F55">_xlfn.IFS(E55=0, "0", E55&lt;=4, "10", E55&lt;=10, "23", E55&lt;=15, "25", E55&lt;=20, "28",E55&lt;=25, "30", E55&lt;=30, "35", E55&lt;=40, "38")</f>
        <v>23</v>
      </c>
      <c r="G55" s="16" t="str" cm="1">
        <f t="array" ref="G55">_xlfn.IFS(E55=0, "0", E55&lt;=4, "5", E55&lt;=10, "12", E55&lt;=15, "13", E55&lt;=20, "14",E55&lt;=25, "15", E55&lt;=30, "16", E55&lt;=40, "17")</f>
        <v>12</v>
      </c>
      <c r="H55" s="12">
        <f t="shared" si="0"/>
        <v>41</v>
      </c>
      <c r="N55" s="11"/>
    </row>
    <row r="56" spans="1:14">
      <c r="A56" s="8">
        <v>45</v>
      </c>
      <c r="B56" s="8" t="s">
        <v>137</v>
      </c>
      <c r="C56" s="8" t="s">
        <v>138</v>
      </c>
      <c r="D56" s="8" t="s">
        <v>139</v>
      </c>
      <c r="E56" s="4">
        <v>17</v>
      </c>
      <c r="F56" s="12" t="str" cm="1">
        <f t="array" ref="F56">_xlfn.IFS(E56=0, "0", E56&lt;=4, "10", E56&lt;=10, "23", E56&lt;=15, "25", E56&lt;=20, "28",E56&lt;=25, "30", E56&lt;=30, "35", E56&lt;=40, "38")</f>
        <v>28</v>
      </c>
      <c r="G56" s="16">
        <v>15</v>
      </c>
      <c r="H56" s="12">
        <f t="shared" si="0"/>
        <v>60</v>
      </c>
      <c r="N56" s="11"/>
    </row>
    <row r="57" spans="1:14">
      <c r="A57" s="8">
        <v>46</v>
      </c>
      <c r="B57" s="8" t="s">
        <v>140</v>
      </c>
      <c r="C57" s="8" t="s">
        <v>141</v>
      </c>
      <c r="D57" s="8" t="s">
        <v>142</v>
      </c>
      <c r="E57" s="4">
        <v>5</v>
      </c>
      <c r="F57" s="12" t="str" cm="1">
        <f t="array" ref="F57">_xlfn.IFS(E57=0, "0", E57&lt;=4, "10", E57&lt;=10, "23", E57&lt;=15, "25", E57&lt;=20, "28",E57&lt;=25, "30", E57&lt;=30, "35", E57&lt;=40, "38")</f>
        <v>23</v>
      </c>
      <c r="G57" s="16" t="str" cm="1">
        <f t="array" ref="G57">_xlfn.IFS(E57=0, "0", E57&lt;=4, "5", E57&lt;=10, "12", E57&lt;=15, "13", E57&lt;=20, "14",E57&lt;=25, "15", E57&lt;=30, "16", E57&lt;=40, "17")</f>
        <v>12</v>
      </c>
      <c r="H57" s="12">
        <f t="shared" si="0"/>
        <v>40</v>
      </c>
      <c r="N57" s="11"/>
    </row>
    <row r="58" spans="1:14">
      <c r="A58" s="8">
        <v>47</v>
      </c>
      <c r="B58" s="8" t="s">
        <v>143</v>
      </c>
      <c r="C58" s="8" t="s">
        <v>144</v>
      </c>
      <c r="D58" s="8" t="s">
        <v>145</v>
      </c>
      <c r="E58" s="4">
        <v>10</v>
      </c>
      <c r="F58" s="12" t="str" cm="1">
        <f t="array" ref="F58">_xlfn.IFS(E58=0, "0", E58&lt;=4, "10", E58&lt;=10, "23", E58&lt;=15, "25", E58&lt;=20, "28",E58&lt;=25, "30", E58&lt;=30, "35", E58&lt;=40, "38")</f>
        <v>23</v>
      </c>
      <c r="G58" s="16" t="str" cm="1">
        <f t="array" ref="G58">_xlfn.IFS(E58=0, "0", E58&lt;=4, "5", E58&lt;=10, "12", E58&lt;=15, "13", E58&lt;=20, "14",E58&lt;=25, "15", E58&lt;=30, "16", E58&lt;=40, "17")</f>
        <v>12</v>
      </c>
      <c r="H58" s="12">
        <f t="shared" si="0"/>
        <v>45</v>
      </c>
      <c r="N58" s="11"/>
    </row>
    <row r="59" spans="1:14">
      <c r="A59" s="8">
        <v>48</v>
      </c>
      <c r="B59" s="8" t="s">
        <v>146</v>
      </c>
      <c r="C59" s="8" t="s">
        <v>147</v>
      </c>
      <c r="D59" s="8" t="s">
        <v>148</v>
      </c>
      <c r="E59" s="4">
        <v>18</v>
      </c>
      <c r="F59" s="12" t="str" cm="1">
        <f t="array" ref="F59">_xlfn.IFS(E59=0, "0", E59&lt;=4, "10", E59&lt;=10, "23", E59&lt;=15, "25", E59&lt;=20, "28",E59&lt;=25, "30", E59&lt;=30, "35", E59&lt;=40, "38")</f>
        <v>28</v>
      </c>
      <c r="G59" s="16" t="str" cm="1">
        <f t="array" ref="G59">_xlfn.IFS(E59=0, "0", E59&lt;=4, "5", E59&lt;=10, "12", E59&lt;=15, "13", E59&lt;=20, "14",E59&lt;=25, "15", E59&lt;=30, "16", E59&lt;=40, "17")</f>
        <v>14</v>
      </c>
      <c r="H59" s="12">
        <f t="shared" si="0"/>
        <v>60</v>
      </c>
      <c r="N59" s="11"/>
    </row>
    <row r="60" spans="1:14">
      <c r="A60" s="8">
        <v>49</v>
      </c>
      <c r="B60" s="8" t="s">
        <v>149</v>
      </c>
      <c r="C60" s="8" t="s">
        <v>150</v>
      </c>
      <c r="D60" s="8" t="s">
        <v>30</v>
      </c>
      <c r="E60" s="4">
        <v>31</v>
      </c>
      <c r="F60" s="12" t="str" cm="1">
        <f t="array" ref="F60">_xlfn.IFS(E60=0, "0", E60&lt;=4, "10", E60&lt;=10, "23", E60&lt;=15, "25", E60&lt;=20, "28",E60&lt;=25, "30", E60&lt;=30, "35", E60&lt;=40, "38")</f>
        <v>38</v>
      </c>
      <c r="G60" s="16" t="str" cm="1">
        <f t="array" ref="G60">_xlfn.IFS(E60=0, "0", E60&lt;=4, "5", E60&lt;=10, "12", E60&lt;=15, "13", E60&lt;=20, "14",E60&lt;=25, "15", E60&lt;=30, "16", E60&lt;=40, "17")</f>
        <v>17</v>
      </c>
      <c r="H60" s="12">
        <f t="shared" si="0"/>
        <v>86</v>
      </c>
      <c r="N60" s="11"/>
    </row>
    <row r="61" spans="1:14">
      <c r="A61" s="8">
        <v>50</v>
      </c>
      <c r="B61" s="8" t="s">
        <v>151</v>
      </c>
      <c r="C61" s="8" t="s">
        <v>152</v>
      </c>
      <c r="D61" s="8" t="s">
        <v>153</v>
      </c>
      <c r="E61" s="4">
        <v>26</v>
      </c>
      <c r="F61" s="12" t="str" cm="1">
        <f t="array" ref="F61">_xlfn.IFS(E61=0, "0", E61&lt;=4, "10", E61&lt;=10, "23", E61&lt;=15, "25", E61&lt;=20, "28",E61&lt;=25, "30", E61&lt;=30, "35", E61&lt;=40, "38")</f>
        <v>35</v>
      </c>
      <c r="G61" s="16" t="str" cm="1">
        <f t="array" ref="G61">_xlfn.IFS(E61=0, "0", E61&lt;=4, "5", E61&lt;=10, "12", E61&lt;=15, "13", E61&lt;=20, "14",E61&lt;=25, "15", E61&lt;=30, "16", E61&lt;=40, "17")</f>
        <v>16</v>
      </c>
      <c r="H61" s="12">
        <f t="shared" si="0"/>
        <v>77</v>
      </c>
      <c r="N61" s="11"/>
    </row>
    <row r="62" spans="1:14">
      <c r="A62" s="8">
        <v>51</v>
      </c>
      <c r="B62" s="8" t="s">
        <v>154</v>
      </c>
      <c r="C62" s="8" t="s">
        <v>155</v>
      </c>
      <c r="D62" s="8" t="s">
        <v>93</v>
      </c>
      <c r="E62" s="4">
        <v>19</v>
      </c>
      <c r="F62" s="12" t="str" cm="1">
        <f t="array" ref="F62">_xlfn.IFS(E62=0, "0", E62&lt;=4, "10", E62&lt;=10, "23", E62&lt;=15, "25", E62&lt;=20, "28",E62&lt;=25, "30", E62&lt;=30, "35", E62&lt;=40, "38")</f>
        <v>28</v>
      </c>
      <c r="G62" s="16" t="str" cm="1">
        <f t="array" ref="G62">_xlfn.IFS(E62=0, "0", E62&lt;=4, "5", E62&lt;=10, "12", E62&lt;=15, "13", E62&lt;=20, "14",E62&lt;=25, "15", E62&lt;=30, "16", E62&lt;=40, "17")</f>
        <v>14</v>
      </c>
      <c r="H62" s="12">
        <f t="shared" si="0"/>
        <v>61</v>
      </c>
      <c r="N62" s="11"/>
    </row>
    <row r="63" spans="1:14">
      <c r="A63" s="8">
        <v>52</v>
      </c>
      <c r="B63" s="8" t="s">
        <v>156</v>
      </c>
      <c r="C63" s="8" t="s">
        <v>157</v>
      </c>
      <c r="D63" s="8" t="s">
        <v>59</v>
      </c>
      <c r="E63" s="4">
        <v>2</v>
      </c>
      <c r="F63" s="12" t="str" cm="1">
        <f t="array" ref="F63">_xlfn.IFS(E63=0, "0", E63&lt;=4, "10", E63&lt;=10, "23", E63&lt;=15, "25", E63&lt;=20, "28",E63&lt;=25, "30", E63&lt;=30, "35", E63&lt;=40, "38")</f>
        <v>10</v>
      </c>
      <c r="G63" s="16" t="str" cm="1">
        <f t="array" ref="G63">_xlfn.IFS(E63=0, "0", E63&lt;=4, "5", E63&lt;=10, "12", E63&lt;=15, "13", E63&lt;=20, "14",E63&lt;=25, "15", E63&lt;=30, "16", E63&lt;=40, "17")</f>
        <v>5</v>
      </c>
      <c r="H63" s="12">
        <f t="shared" si="0"/>
        <v>17</v>
      </c>
      <c r="N63" s="11"/>
    </row>
    <row r="64" spans="1:14">
      <c r="A64" s="8">
        <v>53</v>
      </c>
      <c r="B64" s="8" t="s">
        <v>158</v>
      </c>
      <c r="C64" s="8" t="s">
        <v>159</v>
      </c>
      <c r="D64" s="8" t="s">
        <v>160</v>
      </c>
      <c r="E64" s="4">
        <v>20</v>
      </c>
      <c r="F64" s="12" t="str" cm="1">
        <f t="array" ref="F64">_xlfn.IFS(E64=0, "0", E64&lt;=4, "10", E64&lt;=10, "23", E64&lt;=15, "25", E64&lt;=20, "28",E64&lt;=25, "30", E64&lt;=30, "35", E64&lt;=40, "38")</f>
        <v>28</v>
      </c>
      <c r="G64" s="16" t="str" cm="1">
        <f t="array" ref="G64">_xlfn.IFS(E64=0, "0", E64&lt;=4, "5", E64&lt;=10, "12", E64&lt;=15, "13", E64&lt;=20, "14",E64&lt;=25, "15", E64&lt;=30, "16", E64&lt;=40, "17")</f>
        <v>14</v>
      </c>
      <c r="H64" s="12">
        <f t="shared" si="0"/>
        <v>62</v>
      </c>
      <c r="N64" s="11"/>
    </row>
    <row r="65" spans="1:14">
      <c r="A65" s="8">
        <v>54</v>
      </c>
      <c r="B65" s="8" t="s">
        <v>161</v>
      </c>
      <c r="C65" s="8" t="s">
        <v>162</v>
      </c>
      <c r="D65" s="8" t="s">
        <v>163</v>
      </c>
      <c r="E65" s="4">
        <v>15</v>
      </c>
      <c r="F65" s="12" t="str" cm="1">
        <f t="array" ref="F65">_xlfn.IFS(E65=0, "0", E65&lt;=4, "10", E65&lt;=10, "23", E65&lt;=15, "25", E65&lt;=20, "28",E65&lt;=25, "30", E65&lt;=30, "35", E65&lt;=40, "38")</f>
        <v>25</v>
      </c>
      <c r="G65" s="16" t="str" cm="1">
        <f t="array" ref="G65">_xlfn.IFS(E65=0, "0", E65&lt;=4, "5", E65&lt;=10, "12", E65&lt;=15, "13", E65&lt;=20, "14",E65&lt;=25, "15", E65&lt;=30, "16", E65&lt;=40, "17")</f>
        <v>13</v>
      </c>
      <c r="H65" s="12">
        <f t="shared" si="0"/>
        <v>53</v>
      </c>
      <c r="N65" s="11"/>
    </row>
    <row r="66" spans="1:14">
      <c r="A66" s="8">
        <v>55</v>
      </c>
      <c r="B66" s="8" t="s">
        <v>164</v>
      </c>
      <c r="C66" s="8" t="s">
        <v>165</v>
      </c>
      <c r="D66" s="8" t="s">
        <v>166</v>
      </c>
      <c r="E66" s="4">
        <v>20</v>
      </c>
      <c r="F66" s="12" t="str" cm="1">
        <f t="array" ref="F66">_xlfn.IFS(E66=0, "0", E66&lt;=4, "10", E66&lt;=10, "23", E66&lt;=15, "25", E66&lt;=20, "28",E66&lt;=25, "30", E66&lt;=30, "35", E66&lt;=40, "38")</f>
        <v>28</v>
      </c>
      <c r="G66" s="16" t="str" cm="1">
        <f t="array" ref="G66">_xlfn.IFS(E66=0, "0", E66&lt;=4, "5", E66&lt;=10, "12", E66&lt;=15, "13", E66&lt;=20, "14",E66&lt;=25, "15", E66&lt;=30, "16", E66&lt;=40, "17")</f>
        <v>14</v>
      </c>
      <c r="H66" s="12">
        <f t="shared" si="0"/>
        <v>62</v>
      </c>
      <c r="N66" s="11"/>
    </row>
    <row r="67" spans="1:14">
      <c r="A67" s="8">
        <v>56</v>
      </c>
      <c r="B67" s="8" t="s">
        <v>167</v>
      </c>
      <c r="C67" s="8" t="s">
        <v>168</v>
      </c>
      <c r="D67" s="8" t="s">
        <v>39</v>
      </c>
      <c r="E67" s="4">
        <v>25</v>
      </c>
      <c r="F67" s="12" t="str" cm="1">
        <f t="array" ref="F67">_xlfn.IFS(E67=0, "0", E67&lt;=4, "10", E67&lt;=10, "23", E67&lt;=15, "25", E67&lt;=20, "28",E67&lt;=25, "30", E67&lt;=30, "35", E67&lt;=40, "38")</f>
        <v>30</v>
      </c>
      <c r="G67" s="16" t="str" cm="1">
        <f t="array" ref="G67">_xlfn.IFS(E67=0, "0", E67&lt;=4, "5", E67&lt;=10, "12", E67&lt;=15, "13", E67&lt;=20, "14",E67&lt;=25, "15", E67&lt;=30, "16", E67&lt;=40, "17")</f>
        <v>15</v>
      </c>
      <c r="H67" s="12">
        <f t="shared" si="0"/>
        <v>70</v>
      </c>
      <c r="N67" s="11"/>
    </row>
    <row r="68" spans="1:14">
      <c r="A68" s="8">
        <v>57</v>
      </c>
      <c r="B68" s="8" t="s">
        <v>169</v>
      </c>
      <c r="C68" s="8" t="s">
        <v>170</v>
      </c>
      <c r="D68" s="8" t="s">
        <v>122</v>
      </c>
      <c r="E68" s="4">
        <v>16</v>
      </c>
      <c r="F68" s="12" t="str" cm="1">
        <f t="array" ref="F68">_xlfn.IFS(E68=0, "0", E68&lt;=4, "10", E68&lt;=10, "23", E68&lt;=15, "25", E68&lt;=20, "28",E68&lt;=25, "30", E68&lt;=30, "35", E68&lt;=40, "38")</f>
        <v>28</v>
      </c>
      <c r="G68" s="16" t="str" cm="1">
        <f t="array" ref="G68">_xlfn.IFS(E68=0, "0", E68&lt;=4, "5", E68&lt;=10, "12", E68&lt;=15, "13", E68&lt;=20, "14",E68&lt;=25, "15", E68&lt;=30, "16", E68&lt;=40, "17")</f>
        <v>14</v>
      </c>
      <c r="H68" s="12">
        <f t="shared" si="0"/>
        <v>58</v>
      </c>
      <c r="N68" s="11"/>
    </row>
    <row r="69" spans="1:14">
      <c r="A69" s="8">
        <v>58</v>
      </c>
      <c r="B69" s="8" t="s">
        <v>171</v>
      </c>
      <c r="C69" s="8" t="s">
        <v>172</v>
      </c>
      <c r="D69" s="8" t="s">
        <v>18</v>
      </c>
      <c r="E69" s="4">
        <v>25</v>
      </c>
      <c r="F69" s="12" t="str" cm="1">
        <f t="array" ref="F69">_xlfn.IFS(E69=0, "0", E69&lt;=4, "10", E69&lt;=10, "23", E69&lt;=15, "25", E69&lt;=20, "28",E69&lt;=25, "30", E69&lt;=30, "35", E69&lt;=40, "38")</f>
        <v>30</v>
      </c>
      <c r="G69" s="16" t="str" cm="1">
        <f t="array" ref="G69">_xlfn.IFS(E69=0, "0", E69&lt;=4, "5", E69&lt;=10, "12", E69&lt;=15, "13", E69&lt;=20, "14",E69&lt;=25, "15", E69&lt;=30, "16", E69&lt;=40, "17")</f>
        <v>15</v>
      </c>
      <c r="H69" s="12">
        <f t="shared" si="0"/>
        <v>70</v>
      </c>
      <c r="N69" s="11"/>
    </row>
    <row r="70" spans="1:14">
      <c r="A70" s="8">
        <v>59</v>
      </c>
      <c r="B70" s="8" t="s">
        <v>173</v>
      </c>
      <c r="C70" s="8" t="s">
        <v>174</v>
      </c>
      <c r="D70" s="8" t="s">
        <v>175</v>
      </c>
      <c r="E70" s="4">
        <v>3</v>
      </c>
      <c r="F70" s="12" t="str" cm="1">
        <f t="array" ref="F70">_xlfn.IFS(E70=0, "0", E70&lt;=4, "10", E70&lt;=10, "23", E70&lt;=15, "25", E70&lt;=20, "28",E70&lt;=25, "30", E70&lt;=30, "35", E70&lt;=40, "38")</f>
        <v>10</v>
      </c>
      <c r="G70" s="16" t="str" cm="1">
        <f t="array" ref="G70">_xlfn.IFS(E70=0, "0", E70&lt;=4, "5", E70&lt;=10, "12", E70&lt;=15, "13", E70&lt;=20, "14",E70&lt;=25, "15", E70&lt;=30, "16", E70&lt;=40, "17")</f>
        <v>5</v>
      </c>
      <c r="H70" s="12">
        <f t="shared" si="0"/>
        <v>18</v>
      </c>
      <c r="N70" s="11"/>
    </row>
    <row r="71" spans="1:14">
      <c r="A71" s="8">
        <v>60</v>
      </c>
      <c r="B71" s="8" t="s">
        <v>176</v>
      </c>
      <c r="C71" s="8" t="s">
        <v>92</v>
      </c>
      <c r="D71" s="8" t="s">
        <v>177</v>
      </c>
      <c r="E71" s="4">
        <v>28</v>
      </c>
      <c r="F71" s="12" t="str" cm="1">
        <f t="array" ref="F71">_xlfn.IFS(E71=0, "0", E71&lt;=4, "10", E71&lt;=10, "23", E71&lt;=15, "25", E71&lt;=20, "28",E71&lt;=25, "30", E71&lt;=30, "35", E71&lt;=40, "38")</f>
        <v>35</v>
      </c>
      <c r="G71" s="16" t="str" cm="1">
        <f t="array" ref="G71">_xlfn.IFS(E71=0, "0", E71&lt;=4, "5", E71&lt;=10, "12", E71&lt;=15, "13", E71&lt;=20, "14",E71&lt;=25, "15", E71&lt;=30, "16", E71&lt;=40, "17")</f>
        <v>16</v>
      </c>
      <c r="H71" s="12">
        <f t="shared" si="0"/>
        <v>79</v>
      </c>
      <c r="N71" s="11"/>
    </row>
    <row r="72" spans="1:14">
      <c r="A72" s="8">
        <v>61</v>
      </c>
      <c r="B72" s="8" t="s">
        <v>178</v>
      </c>
      <c r="C72" s="8" t="s">
        <v>179</v>
      </c>
      <c r="D72" s="8" t="s">
        <v>180</v>
      </c>
      <c r="E72" s="4">
        <v>25</v>
      </c>
      <c r="F72" s="12" t="str" cm="1">
        <f t="array" ref="F72">_xlfn.IFS(E72=0, "0", E72&lt;=4, "10", E72&lt;=10, "23", E72&lt;=15, "25", E72&lt;=20, "28",E72&lt;=25, "30", E72&lt;=30, "35", E72&lt;=40, "38")</f>
        <v>30</v>
      </c>
      <c r="G72" s="16" t="str" cm="1">
        <f t="array" ref="G72">_xlfn.IFS(E72=0, "0", E72&lt;=4, "5", E72&lt;=10, "12", E72&lt;=15, "13", E72&lt;=20, "14",E72&lt;=25, "15", E72&lt;=30, "16", E72&lt;=40, "17")</f>
        <v>15</v>
      </c>
      <c r="H72" s="12">
        <f t="shared" si="0"/>
        <v>70</v>
      </c>
      <c r="N72" s="11"/>
    </row>
    <row r="73" spans="1:14">
      <c r="A73" s="8">
        <v>62</v>
      </c>
      <c r="B73" s="8" t="s">
        <v>181</v>
      </c>
      <c r="C73" s="8" t="s">
        <v>182</v>
      </c>
      <c r="D73" s="8" t="s">
        <v>183</v>
      </c>
      <c r="E73" s="4">
        <v>13</v>
      </c>
      <c r="F73" s="12" t="str" cm="1">
        <f t="array" ref="F73">_xlfn.IFS(E73=0, "0", E73&lt;=4, "10", E73&lt;=10, "23", E73&lt;=15, "25", E73&lt;=20, "28",E73&lt;=25, "30", E73&lt;=30, "35", E73&lt;=40, "38")</f>
        <v>25</v>
      </c>
      <c r="G73" s="16" t="str" cm="1">
        <f t="array" ref="G73">_xlfn.IFS(E73=0, "0", E73&lt;=4, "5", E73&lt;=10, "12", E73&lt;=15, "13", E73&lt;=20, "14",E73&lt;=25, "15", E73&lt;=30, "16", E73&lt;=40, "17")</f>
        <v>13</v>
      </c>
      <c r="H73" s="12">
        <f t="shared" si="0"/>
        <v>51</v>
      </c>
      <c r="N73" s="11"/>
    </row>
    <row r="74" spans="1:14">
      <c r="A74" s="8">
        <v>63</v>
      </c>
      <c r="B74" s="8" t="s">
        <v>184</v>
      </c>
      <c r="C74" s="8" t="s">
        <v>185</v>
      </c>
      <c r="D74" s="8" t="s">
        <v>186</v>
      </c>
      <c r="E74" s="4">
        <v>21</v>
      </c>
      <c r="F74" s="12" t="str" cm="1">
        <f t="array" ref="F74">_xlfn.IFS(E74=0, "0", E74&lt;=4, "10", E74&lt;=10, "23", E74&lt;=15, "25", E74&lt;=20, "28",E74&lt;=25, "30", E74&lt;=30, "35", E74&lt;=40, "38")</f>
        <v>30</v>
      </c>
      <c r="G74" s="16" t="str" cm="1">
        <f t="array" ref="G74">_xlfn.IFS(E74=0, "0", E74&lt;=4, "5", E74&lt;=10, "12", E74&lt;=15, "13", E74&lt;=20, "14",E74&lt;=25, "15", E74&lt;=30, "16", E74&lt;=40, "17")</f>
        <v>15</v>
      </c>
      <c r="H74" s="12">
        <f t="shared" si="0"/>
        <v>66</v>
      </c>
      <c r="N74" s="11"/>
    </row>
    <row r="75" spans="1:14">
      <c r="A75" s="8">
        <v>64</v>
      </c>
      <c r="B75" s="8" t="s">
        <v>187</v>
      </c>
      <c r="C75" s="8" t="s">
        <v>188</v>
      </c>
      <c r="D75" s="8" t="s">
        <v>18</v>
      </c>
      <c r="E75" s="4">
        <v>9</v>
      </c>
      <c r="F75" s="12" t="str" cm="1">
        <f t="array" ref="F75">_xlfn.IFS(E75=0, "0", E75&lt;=4, "10", E75&lt;=10, "23", E75&lt;=15, "25", E75&lt;=20, "28",E75&lt;=25, "30", E75&lt;=30, "35", E75&lt;=40, "38")</f>
        <v>23</v>
      </c>
      <c r="G75" s="16" t="str" cm="1">
        <f t="array" ref="G75">_xlfn.IFS(E75=0, "0", E75&lt;=4, "5", E75&lt;=10, "12", E75&lt;=15, "13", E75&lt;=20, "14",E75&lt;=25, "15", E75&lt;=30, "16", E75&lt;=40, "17")</f>
        <v>12</v>
      </c>
      <c r="H75" s="12">
        <f t="shared" si="0"/>
        <v>44</v>
      </c>
      <c r="N75" s="11"/>
    </row>
    <row r="76" spans="1:14">
      <c r="A76" s="8">
        <v>65</v>
      </c>
      <c r="B76" s="8" t="s">
        <v>189</v>
      </c>
      <c r="C76" s="8" t="s">
        <v>190</v>
      </c>
      <c r="D76" s="8" t="s">
        <v>30</v>
      </c>
      <c r="E76" s="4">
        <v>22</v>
      </c>
      <c r="F76" s="12" t="str" cm="1">
        <f t="array" ref="F76">_xlfn.IFS(E76=0, "0", E76&lt;=4, "10", E76&lt;=10, "23", E76&lt;=15, "25", E76&lt;=20, "28",E76&lt;=25, "30", E76&lt;=30, "35", E76&lt;=40, "38")</f>
        <v>30</v>
      </c>
      <c r="G76" s="16" t="str" cm="1">
        <f t="array" ref="G76">_xlfn.IFS(E76=0, "0", E76&lt;=4, "5", E76&lt;=10, "12", E76&lt;=15, "13", E76&lt;=20, "14",E76&lt;=25, "15", E76&lt;=30, "16", E76&lt;=40, "17")</f>
        <v>15</v>
      </c>
      <c r="H76" s="12">
        <f t="shared" si="0"/>
        <v>67</v>
      </c>
      <c r="N76" s="11"/>
    </row>
    <row r="77" spans="1:14">
      <c r="A77" s="8">
        <v>66</v>
      </c>
      <c r="B77" s="8" t="s">
        <v>191</v>
      </c>
      <c r="C77" s="8" t="s">
        <v>192</v>
      </c>
      <c r="D77" s="8" t="s">
        <v>193</v>
      </c>
      <c r="E77" s="4"/>
      <c r="F77" s="12" t="str" cm="1">
        <f t="array" ref="F77">_xlfn.IFS(E77=0, "0", E77&lt;=4, "10", E77&lt;=10, "23", E77&lt;=15, "25", E77&lt;=20, "28",E77&lt;=25, "30", E77&lt;=30, "35", E77&lt;=40, "38")</f>
        <v>0</v>
      </c>
      <c r="G77" s="16" t="str" cm="1">
        <f t="array" ref="G77">_xlfn.IFS(E77=0, "0", E77&lt;=4, "5", E77&lt;=10, "12", E77&lt;=15, "13", E77&lt;=20, "14",E77&lt;=25, "15", E77&lt;=30, "16", E77&lt;=40, "17")</f>
        <v>0</v>
      </c>
      <c r="H77" s="12">
        <f t="shared" ref="H77:H140" si="1">E77+F77+G77</f>
        <v>0</v>
      </c>
      <c r="N77" s="11"/>
    </row>
    <row r="78" spans="1:14">
      <c r="A78" s="8">
        <v>67</v>
      </c>
      <c r="B78" s="8" t="s">
        <v>194</v>
      </c>
      <c r="C78" s="8" t="s">
        <v>192</v>
      </c>
      <c r="D78" s="8" t="s">
        <v>195</v>
      </c>
      <c r="E78" s="4">
        <v>5</v>
      </c>
      <c r="F78" s="12" t="str" cm="1">
        <f t="array" ref="F78">_xlfn.IFS(E78=0, "0", E78&lt;=4, "10", E78&lt;=10, "23", E78&lt;=15, "25", E78&lt;=20, "28",E78&lt;=25, "30", E78&lt;=30, "35", E78&lt;=40, "38")</f>
        <v>23</v>
      </c>
      <c r="G78" s="16" t="str" cm="1">
        <f t="array" ref="G78">_xlfn.IFS(E78=0, "0", E78&lt;=4, "5", E78&lt;=10, "12", E78&lt;=15, "13", E78&lt;=20, "14",E78&lt;=25, "15", E78&lt;=30, "16", E78&lt;=40, "17")</f>
        <v>12</v>
      </c>
      <c r="H78" s="12">
        <f t="shared" si="1"/>
        <v>40</v>
      </c>
      <c r="N78" s="11"/>
    </row>
    <row r="79" spans="1:14">
      <c r="A79" s="8">
        <v>68</v>
      </c>
      <c r="B79" s="8" t="s">
        <v>196</v>
      </c>
      <c r="C79" s="8" t="s">
        <v>197</v>
      </c>
      <c r="D79" s="8" t="s">
        <v>198</v>
      </c>
      <c r="E79" s="4">
        <v>16</v>
      </c>
      <c r="F79" s="12" t="str" cm="1">
        <f t="array" ref="F79">_xlfn.IFS(E79=0, "0", E79&lt;=4, "10", E79&lt;=10, "23", E79&lt;=15, "25", E79&lt;=20, "28",E79&lt;=25, "30", E79&lt;=30, "35", E79&lt;=40, "38")</f>
        <v>28</v>
      </c>
      <c r="G79" s="16" t="str" cm="1">
        <f t="array" ref="G79">_xlfn.IFS(E79=0, "0", E79&lt;=4, "5", E79&lt;=10, "12", E79&lt;=15, "13", E79&lt;=20, "14",E79&lt;=25, "15", E79&lt;=30, "16", E79&lt;=40, "17")</f>
        <v>14</v>
      </c>
      <c r="H79" s="12">
        <f t="shared" si="1"/>
        <v>58</v>
      </c>
      <c r="N79" s="11"/>
    </row>
    <row r="80" spans="1:14">
      <c r="A80" s="8">
        <v>69</v>
      </c>
      <c r="B80" s="8" t="s">
        <v>199</v>
      </c>
      <c r="C80" s="8" t="s">
        <v>200</v>
      </c>
      <c r="D80" s="8" t="s">
        <v>201</v>
      </c>
      <c r="E80" s="4">
        <v>14</v>
      </c>
      <c r="F80" s="12" t="str" cm="1">
        <f t="array" ref="F80">_xlfn.IFS(E80=0, "0", E80&lt;=4, "10", E80&lt;=10, "23", E80&lt;=15, "25", E80&lt;=20, "28",E80&lt;=25, "30", E80&lt;=30, "35", E80&lt;=40, "38")</f>
        <v>25</v>
      </c>
      <c r="G80" s="16" t="str" cm="1">
        <f t="array" ref="G80">_xlfn.IFS(E80=0, "0", E80&lt;=4, "5", E80&lt;=10, "12", E80&lt;=15, "13", E80&lt;=20, "14",E80&lt;=25, "15", E80&lt;=30, "16", E80&lt;=40, "17")</f>
        <v>13</v>
      </c>
      <c r="H80" s="12">
        <f t="shared" si="1"/>
        <v>52</v>
      </c>
      <c r="N80" s="11"/>
    </row>
    <row r="81" spans="1:14">
      <c r="A81" s="8">
        <v>70</v>
      </c>
      <c r="B81" s="8" t="s">
        <v>202</v>
      </c>
      <c r="C81" s="8" t="s">
        <v>203</v>
      </c>
      <c r="D81" s="8" t="s">
        <v>204</v>
      </c>
      <c r="E81" s="4"/>
      <c r="F81" s="12" t="str" cm="1">
        <f t="array" ref="F81">_xlfn.IFS(E81=0, "0", E81&lt;=4, "10", E81&lt;=10, "23", E81&lt;=15, "25", E81&lt;=20, "28",E81&lt;=25, "30", E81&lt;=30, "35", E81&lt;=40, "38")</f>
        <v>0</v>
      </c>
      <c r="G81" s="16" t="str" cm="1">
        <f t="array" ref="G81">_xlfn.IFS(E81=0, "0", E81&lt;=4, "5", E81&lt;=10, "12", E81&lt;=15, "13", E81&lt;=20, "14",E81&lt;=25, "15", E81&lt;=30, "16", E81&lt;=40, "17")</f>
        <v>0</v>
      </c>
      <c r="H81" s="12">
        <f t="shared" si="1"/>
        <v>0</v>
      </c>
      <c r="N81" s="11"/>
    </row>
    <row r="82" spans="1:14">
      <c r="A82" s="8">
        <v>71</v>
      </c>
      <c r="B82" s="8" t="s">
        <v>205</v>
      </c>
      <c r="C82" s="8" t="s">
        <v>206</v>
      </c>
      <c r="D82" s="8" t="s">
        <v>207</v>
      </c>
      <c r="E82" s="4">
        <v>24</v>
      </c>
      <c r="F82" s="12" t="str" cm="1">
        <f t="array" ref="F82">_xlfn.IFS(E82=0, "0", E82&lt;=4, "10", E82&lt;=10, "23", E82&lt;=15, "25", E82&lt;=20, "28",E82&lt;=25, "30", E82&lt;=30, "35", E82&lt;=40, "38")</f>
        <v>30</v>
      </c>
      <c r="G82" s="16">
        <v>16</v>
      </c>
      <c r="H82" s="12">
        <f t="shared" si="1"/>
        <v>70</v>
      </c>
      <c r="N82" s="11"/>
    </row>
    <row r="83" spans="1:14">
      <c r="A83" s="8">
        <v>72</v>
      </c>
      <c r="B83" s="8" t="s">
        <v>208</v>
      </c>
      <c r="C83" s="8" t="s">
        <v>209</v>
      </c>
      <c r="D83" s="8" t="s">
        <v>210</v>
      </c>
      <c r="E83" s="4">
        <v>30</v>
      </c>
      <c r="F83" s="12" t="str" cm="1">
        <f t="array" ref="F83">_xlfn.IFS(E83=0, "0", E83&lt;=4, "10", E83&lt;=10, "23", E83&lt;=15, "25", E83&lt;=20, "28",E83&lt;=25, "30", E83&lt;=30, "35", E83&lt;=40, "38")</f>
        <v>35</v>
      </c>
      <c r="G83" s="16" t="str" cm="1">
        <f t="array" ref="G83">_xlfn.IFS(E83=0, "0", E83&lt;=4, "5", E83&lt;=10, "12", E83&lt;=15, "13", E83&lt;=20, "14",E83&lt;=25, "15", E83&lt;=30, "16", E83&lt;=40, "17")</f>
        <v>16</v>
      </c>
      <c r="H83" s="12">
        <f t="shared" si="1"/>
        <v>81</v>
      </c>
      <c r="N83" s="11"/>
    </row>
    <row r="84" spans="1:14">
      <c r="A84" s="8">
        <v>73</v>
      </c>
      <c r="B84" s="8" t="s">
        <v>211</v>
      </c>
      <c r="C84" s="8" t="s">
        <v>212</v>
      </c>
      <c r="D84" s="8" t="s">
        <v>213</v>
      </c>
      <c r="E84" s="4">
        <v>30</v>
      </c>
      <c r="F84" s="12" t="str" cm="1">
        <f t="array" ref="F84">_xlfn.IFS(E84=0, "0", E84&lt;=4, "10", E84&lt;=10, "23", E84&lt;=15, "25", E84&lt;=20, "28",E84&lt;=25, "30", E84&lt;=30, "35", E84&lt;=40, "38")</f>
        <v>35</v>
      </c>
      <c r="G84" s="16" t="str" cm="1">
        <f t="array" ref="G84">_xlfn.IFS(E84=0, "0", E84&lt;=4, "5", E84&lt;=10, "12", E84&lt;=15, "13", E84&lt;=20, "14",E84&lt;=25, "15", E84&lt;=30, "16", E84&lt;=40, "17")</f>
        <v>16</v>
      </c>
      <c r="H84" s="12">
        <f t="shared" si="1"/>
        <v>81</v>
      </c>
      <c r="N84" s="11"/>
    </row>
    <row r="85" spans="1:14">
      <c r="A85" s="8">
        <v>74</v>
      </c>
      <c r="B85" s="8" t="s">
        <v>214</v>
      </c>
      <c r="C85" s="8" t="s">
        <v>215</v>
      </c>
      <c r="D85" s="8" t="s">
        <v>216</v>
      </c>
      <c r="E85" s="4">
        <v>29</v>
      </c>
      <c r="F85" s="12" t="str" cm="1">
        <f t="array" ref="F85">_xlfn.IFS(E85=0, "0", E85&lt;=4, "10", E85&lt;=10, "23", E85&lt;=15, "25", E85&lt;=20, "28",E85&lt;=25, "30", E85&lt;=30, "35", E85&lt;=40, "38")</f>
        <v>35</v>
      </c>
      <c r="G85" s="16" t="str" cm="1">
        <f t="array" ref="G85">_xlfn.IFS(E85=0, "0", E85&lt;=4, "5", E85&lt;=10, "12", E85&lt;=15, "13", E85&lt;=20, "14",E85&lt;=25, "15", E85&lt;=30, "16", E85&lt;=40, "17")</f>
        <v>16</v>
      </c>
      <c r="H85" s="12">
        <f t="shared" si="1"/>
        <v>80</v>
      </c>
      <c r="N85" s="11"/>
    </row>
    <row r="86" spans="1:14">
      <c r="A86" s="8">
        <v>75</v>
      </c>
      <c r="B86" s="8" t="s">
        <v>217</v>
      </c>
      <c r="C86" s="8" t="s">
        <v>218</v>
      </c>
      <c r="D86" s="8" t="s">
        <v>219</v>
      </c>
      <c r="E86" s="4">
        <v>24</v>
      </c>
      <c r="F86" s="12" t="str" cm="1">
        <f t="array" ref="F86">_xlfn.IFS(E86=0, "0", E86&lt;=4, "10", E86&lt;=10, "23", E86&lt;=15, "25", E86&lt;=20, "28",E86&lt;=25, "30", E86&lt;=30, "35", E86&lt;=40, "38")</f>
        <v>30</v>
      </c>
      <c r="G86" s="16">
        <v>16</v>
      </c>
      <c r="H86" s="12">
        <f t="shared" si="1"/>
        <v>70</v>
      </c>
      <c r="N86" s="11"/>
    </row>
    <row r="87" spans="1:14">
      <c r="A87" s="8">
        <v>76</v>
      </c>
      <c r="B87" s="8" t="s">
        <v>220</v>
      </c>
      <c r="C87" s="8" t="s">
        <v>221</v>
      </c>
      <c r="D87" s="8" t="s">
        <v>210</v>
      </c>
      <c r="E87" s="4">
        <v>16</v>
      </c>
      <c r="F87" s="12" t="str" cm="1">
        <f t="array" ref="F87">_xlfn.IFS(E87=0, "0", E87&lt;=4, "10", E87&lt;=10, "23", E87&lt;=15, "25", E87&lt;=20, "28",E87&lt;=25, "30", E87&lt;=30, "35", E87&lt;=40, "38")</f>
        <v>28</v>
      </c>
      <c r="G87" s="16" t="str" cm="1">
        <f t="array" ref="G87">_xlfn.IFS(E87=0, "0", E87&lt;=4, "5", E87&lt;=10, "12", E87&lt;=15, "13", E87&lt;=20, "14",E87&lt;=25, "15", E87&lt;=30, "16", E87&lt;=40, "17")</f>
        <v>14</v>
      </c>
      <c r="H87" s="12">
        <f t="shared" si="1"/>
        <v>58</v>
      </c>
      <c r="N87" s="11"/>
    </row>
    <row r="88" spans="1:14">
      <c r="A88" s="8">
        <v>77</v>
      </c>
      <c r="B88" s="8" t="s">
        <v>222</v>
      </c>
      <c r="C88" s="8" t="s">
        <v>223</v>
      </c>
      <c r="D88" s="8" t="s">
        <v>224</v>
      </c>
      <c r="E88" s="4"/>
      <c r="F88" s="12" t="str" cm="1">
        <f t="array" ref="F88">_xlfn.IFS(E88=0, "0", E88&lt;=4, "10", E88&lt;=10, "23", E88&lt;=15, "25", E88&lt;=20, "28",E88&lt;=25, "30", E88&lt;=30, "35", E88&lt;=40, "38")</f>
        <v>0</v>
      </c>
      <c r="G88" s="16" t="str" cm="1">
        <f t="array" ref="G88">_xlfn.IFS(E88=0, "0", E88&lt;=4, "5", E88&lt;=10, "12", E88&lt;=15, "13", E88&lt;=20, "14",E88&lt;=25, "15", E88&lt;=30, "16", E88&lt;=40, "17")</f>
        <v>0</v>
      </c>
      <c r="H88" s="12">
        <f t="shared" si="1"/>
        <v>0</v>
      </c>
      <c r="N88" s="11"/>
    </row>
    <row r="89" spans="1:14">
      <c r="A89" s="8">
        <v>78</v>
      </c>
      <c r="B89" s="8" t="s">
        <v>225</v>
      </c>
      <c r="C89" s="8" t="s">
        <v>226</v>
      </c>
      <c r="D89" s="8" t="s">
        <v>116</v>
      </c>
      <c r="E89" s="4">
        <v>21</v>
      </c>
      <c r="F89" s="12" t="str" cm="1">
        <f t="array" ref="F89">_xlfn.IFS(E89=0, "0", E89&lt;=4, "10", E89&lt;=10, "23", E89&lt;=15, "25", E89&lt;=20, "28",E89&lt;=25, "30", E89&lt;=30, "35", E89&lt;=40, "38")</f>
        <v>30</v>
      </c>
      <c r="G89" s="16" t="str" cm="1">
        <f t="array" ref="G89">_xlfn.IFS(E89=0, "0", E89&lt;=4, "5", E89&lt;=10, "12", E89&lt;=15, "13", E89&lt;=20, "14",E89&lt;=25, "15", E89&lt;=30, "16", E89&lt;=40, "17")</f>
        <v>15</v>
      </c>
      <c r="H89" s="12">
        <f t="shared" si="1"/>
        <v>66</v>
      </c>
      <c r="N89" s="11"/>
    </row>
    <row r="90" spans="1:14">
      <c r="A90" s="8">
        <v>79</v>
      </c>
      <c r="B90" s="8" t="s">
        <v>227</v>
      </c>
      <c r="C90" s="8" t="s">
        <v>228</v>
      </c>
      <c r="D90" s="8" t="s">
        <v>229</v>
      </c>
      <c r="E90" s="4">
        <v>22</v>
      </c>
      <c r="F90" s="12" t="str" cm="1">
        <f t="array" ref="F90">_xlfn.IFS(E90=0, "0", E90&lt;=4, "10", E90&lt;=10, "23", E90&lt;=15, "25", E90&lt;=20, "28",E90&lt;=25, "30", E90&lt;=30, "35", E90&lt;=40, "38")</f>
        <v>30</v>
      </c>
      <c r="G90" s="16" t="str" cm="1">
        <f t="array" ref="G90">_xlfn.IFS(E90=0, "0", E90&lt;=4, "5", E90&lt;=10, "12", E90&lt;=15, "13", E90&lt;=20, "14",E90&lt;=25, "15", E90&lt;=30, "16", E90&lt;=40, "17")</f>
        <v>15</v>
      </c>
      <c r="H90" s="12">
        <f t="shared" si="1"/>
        <v>67</v>
      </c>
      <c r="N90" s="11"/>
    </row>
    <row r="91" spans="1:14">
      <c r="A91" s="8">
        <v>80</v>
      </c>
      <c r="B91" s="8" t="s">
        <v>230</v>
      </c>
      <c r="C91" s="8" t="s">
        <v>231</v>
      </c>
      <c r="D91" s="8" t="s">
        <v>232</v>
      </c>
      <c r="E91" s="4"/>
      <c r="F91" s="12" t="str" cm="1">
        <f t="array" ref="F91">_xlfn.IFS(E91=0, "0", E91&lt;=4, "10", E91&lt;=10, "23", E91&lt;=15, "25", E91&lt;=20, "28",E91&lt;=25, "30", E91&lt;=30, "35", E91&lt;=40, "38")</f>
        <v>0</v>
      </c>
      <c r="G91" s="16" t="str" cm="1">
        <f t="array" ref="G91">_xlfn.IFS(E91=0, "0", E91&lt;=4, "5", E91&lt;=10, "12", E91&lt;=15, "13", E91&lt;=20, "14",E91&lt;=25, "15", E91&lt;=30, "16", E91&lt;=40, "17")</f>
        <v>0</v>
      </c>
      <c r="H91" s="12">
        <f t="shared" si="1"/>
        <v>0</v>
      </c>
      <c r="N91" s="11"/>
    </row>
    <row r="92" spans="1:14">
      <c r="A92" s="8">
        <v>81</v>
      </c>
      <c r="B92" s="8" t="s">
        <v>233</v>
      </c>
      <c r="C92" s="8" t="s">
        <v>234</v>
      </c>
      <c r="D92" s="8" t="s">
        <v>204</v>
      </c>
      <c r="E92" s="4"/>
      <c r="F92" s="12" t="str" cm="1">
        <f t="array" ref="F92">_xlfn.IFS(E92=0, "0", E92&lt;=4, "10", E92&lt;=10, "23", E92&lt;=15, "25", E92&lt;=20, "28",E92&lt;=25, "30", E92&lt;=30, "35", E92&lt;=40, "38")</f>
        <v>0</v>
      </c>
      <c r="G92" s="16" t="str" cm="1">
        <f t="array" ref="G92">_xlfn.IFS(E92=0, "0", E92&lt;=4, "5", E92&lt;=10, "12", E92&lt;=15, "13", E92&lt;=20, "14",E92&lt;=25, "15", E92&lt;=30, "16", E92&lt;=40, "17")</f>
        <v>0</v>
      </c>
      <c r="H92" s="12">
        <f t="shared" si="1"/>
        <v>0</v>
      </c>
      <c r="N92" s="11"/>
    </row>
    <row r="93" spans="1:14">
      <c r="A93" s="8">
        <v>82</v>
      </c>
      <c r="B93" s="8" t="s">
        <v>235</v>
      </c>
      <c r="C93" s="8" t="s">
        <v>236</v>
      </c>
      <c r="D93" s="8" t="s">
        <v>237</v>
      </c>
      <c r="E93" s="4"/>
      <c r="F93" s="12" t="str" cm="1">
        <f t="array" ref="F93">_xlfn.IFS(E93=0, "0", E93&lt;=4, "10", E93&lt;=10, "23", E93&lt;=15, "25", E93&lt;=20, "28",E93&lt;=25, "30", E93&lt;=30, "35", E93&lt;=40, "38")</f>
        <v>0</v>
      </c>
      <c r="G93" s="16" t="str" cm="1">
        <f t="array" ref="G93">_xlfn.IFS(E93=0, "0", E93&lt;=4, "5", E93&lt;=10, "12", E93&lt;=15, "13", E93&lt;=20, "14",E93&lt;=25, "15", E93&lt;=30, "16", E93&lt;=40, "17")</f>
        <v>0</v>
      </c>
      <c r="H93" s="12">
        <f t="shared" si="1"/>
        <v>0</v>
      </c>
      <c r="N93" s="11"/>
    </row>
    <row r="94" spans="1:14">
      <c r="A94" s="8">
        <v>83</v>
      </c>
      <c r="B94" s="8" t="s">
        <v>238</v>
      </c>
      <c r="C94" s="8" t="s">
        <v>239</v>
      </c>
      <c r="D94" s="8" t="s">
        <v>240</v>
      </c>
      <c r="E94" s="4">
        <v>23</v>
      </c>
      <c r="F94" s="12" t="str" cm="1">
        <f t="array" ref="F94">_xlfn.IFS(E94=0, "0", E94&lt;=4, "10", E94&lt;=10, "23", E94&lt;=15, "25", E94&lt;=20, "28",E94&lt;=25, "30", E94&lt;=30, "35", E94&lt;=40, "38")</f>
        <v>30</v>
      </c>
      <c r="G94" s="16" t="str" cm="1">
        <f t="array" ref="G94">_xlfn.IFS(E94=0, "0", E94&lt;=4, "5", E94&lt;=10, "12", E94&lt;=15, "13", E94&lt;=20, "14",E94&lt;=25, "15", E94&lt;=30, "16", E94&lt;=40, "17")</f>
        <v>15</v>
      </c>
      <c r="H94" s="12">
        <f t="shared" si="1"/>
        <v>68</v>
      </c>
      <c r="N94" s="11"/>
    </row>
    <row r="95" spans="1:14">
      <c r="A95" s="8">
        <v>84</v>
      </c>
      <c r="B95" s="8" t="s">
        <v>241</v>
      </c>
      <c r="C95" s="8" t="s">
        <v>242</v>
      </c>
      <c r="D95" s="8" t="s">
        <v>243</v>
      </c>
      <c r="E95" s="4">
        <v>27</v>
      </c>
      <c r="F95" s="12" t="str" cm="1">
        <f t="array" ref="F95">_xlfn.IFS(E95=0, "0", E95&lt;=4, "10", E95&lt;=10, "23", E95&lt;=15, "25", E95&lt;=20, "28",E95&lt;=25, "30", E95&lt;=30, "35", E95&lt;=40, "38")</f>
        <v>35</v>
      </c>
      <c r="G95" s="16" t="str" cm="1">
        <f t="array" ref="G95">_xlfn.IFS(E95=0, "0", E95&lt;=4, "5", E95&lt;=10, "12", E95&lt;=15, "13", E95&lt;=20, "14",E95&lt;=25, "15", E95&lt;=30, "16", E95&lt;=40, "17")</f>
        <v>16</v>
      </c>
      <c r="H95" s="12">
        <f t="shared" si="1"/>
        <v>78</v>
      </c>
      <c r="N95" s="11"/>
    </row>
    <row r="96" spans="1:14">
      <c r="A96" s="8">
        <v>85</v>
      </c>
      <c r="B96" s="8" t="s">
        <v>244</v>
      </c>
      <c r="C96" s="8" t="s">
        <v>212</v>
      </c>
      <c r="D96" s="8" t="s">
        <v>245</v>
      </c>
      <c r="E96" s="4">
        <v>17</v>
      </c>
      <c r="F96" s="12" t="str" cm="1">
        <f t="array" ref="F96">_xlfn.IFS(E96=0, "0", E96&lt;=4, "10", E96&lt;=10, "23", E96&lt;=15, "25", E96&lt;=20, "28",E96&lt;=25, "30", E96&lt;=30, "35", E96&lt;=40, "38")</f>
        <v>28</v>
      </c>
      <c r="G96" s="16">
        <v>15</v>
      </c>
      <c r="H96" s="12">
        <f t="shared" si="1"/>
        <v>60</v>
      </c>
      <c r="N96" s="11"/>
    </row>
    <row r="97" spans="1:14">
      <c r="A97" s="8">
        <v>86</v>
      </c>
      <c r="B97" s="8" t="s">
        <v>246</v>
      </c>
      <c r="C97" s="8" t="s">
        <v>247</v>
      </c>
      <c r="D97" s="8" t="s">
        <v>248</v>
      </c>
      <c r="E97" s="4">
        <v>8</v>
      </c>
      <c r="F97" s="12" t="str" cm="1">
        <f t="array" ref="F97">_xlfn.IFS(E97=0, "0", E97&lt;=4, "10", E97&lt;=10, "23", E97&lt;=15, "25", E97&lt;=20, "28",E97&lt;=25, "30", E97&lt;=30, "35", E97&lt;=40, "38")</f>
        <v>23</v>
      </c>
      <c r="G97" s="16" t="str" cm="1">
        <f t="array" ref="G97">_xlfn.IFS(E97=0, "0", E97&lt;=4, "5", E97&lt;=10, "12", E97&lt;=15, "13", E97&lt;=20, "14",E97&lt;=25, "15", E97&lt;=30, "16", E97&lt;=40, "17")</f>
        <v>12</v>
      </c>
      <c r="H97" s="12">
        <f t="shared" si="1"/>
        <v>43</v>
      </c>
      <c r="N97" s="11"/>
    </row>
    <row r="98" spans="1:14">
      <c r="A98" s="8">
        <v>87</v>
      </c>
      <c r="B98" s="8" t="s">
        <v>249</v>
      </c>
      <c r="C98" s="8" t="s">
        <v>109</v>
      </c>
      <c r="D98" s="8" t="s">
        <v>250</v>
      </c>
      <c r="E98" s="4">
        <v>11</v>
      </c>
      <c r="F98" s="12" t="str" cm="1">
        <f t="array" ref="F98">_xlfn.IFS(E98=0, "0", E98&lt;=4, "10", E98&lt;=10, "23", E98&lt;=15, "25", E98&lt;=20, "28",E98&lt;=25, "30", E98&lt;=30, "35", E98&lt;=40, "38")</f>
        <v>25</v>
      </c>
      <c r="G98" s="16">
        <v>14</v>
      </c>
      <c r="H98" s="12">
        <f t="shared" si="1"/>
        <v>50</v>
      </c>
      <c r="N98" s="11"/>
    </row>
    <row r="99" spans="1:14">
      <c r="A99" s="8">
        <v>88</v>
      </c>
      <c r="B99" s="8" t="s">
        <v>251</v>
      </c>
      <c r="C99" s="8" t="s">
        <v>252</v>
      </c>
      <c r="D99" s="8" t="s">
        <v>153</v>
      </c>
      <c r="E99" s="4"/>
      <c r="F99" s="12" t="str" cm="1">
        <f t="array" ref="F99">_xlfn.IFS(E99=0, "0", E99&lt;=4, "10", E99&lt;=10, "23", E99&lt;=15, "25", E99&lt;=20, "28",E99&lt;=25, "30", E99&lt;=30, "35", E99&lt;=40, "38")</f>
        <v>0</v>
      </c>
      <c r="G99" s="16" t="str" cm="1">
        <f t="array" ref="G99">_xlfn.IFS(E99=0, "0", E99&lt;=4, "5", E99&lt;=10, "12", E99&lt;=15, "13", E99&lt;=20, "14",E99&lt;=25, "15", E99&lt;=30, "16", E99&lt;=40, "17")</f>
        <v>0</v>
      </c>
      <c r="H99" s="12">
        <f t="shared" si="1"/>
        <v>0</v>
      </c>
      <c r="N99" s="11"/>
    </row>
    <row r="100" spans="1:14">
      <c r="A100" s="8">
        <v>89</v>
      </c>
      <c r="B100" s="8" t="s">
        <v>253</v>
      </c>
      <c r="C100" s="8" t="s">
        <v>254</v>
      </c>
      <c r="D100" s="8" t="s">
        <v>255</v>
      </c>
      <c r="E100" s="4">
        <v>5</v>
      </c>
      <c r="F100" s="12" t="str" cm="1">
        <f t="array" ref="F100">_xlfn.IFS(E100=0, "0", E100&lt;=4, "10", E100&lt;=10, "23", E100&lt;=15, "25", E100&lt;=20, "28",E100&lt;=25, "30", E100&lt;=30, "35", E100&lt;=40, "38")</f>
        <v>23</v>
      </c>
      <c r="G100" s="16" t="str" cm="1">
        <f t="array" ref="G100">_xlfn.IFS(E100=0, "0", E100&lt;=4, "5", E100&lt;=10, "12", E100&lt;=15, "13", E100&lt;=20, "14",E100&lt;=25, "15", E100&lt;=30, "16", E100&lt;=40, "17")</f>
        <v>12</v>
      </c>
      <c r="H100" s="12">
        <f t="shared" si="1"/>
        <v>40</v>
      </c>
      <c r="N100" s="11"/>
    </row>
    <row r="101" spans="1:14">
      <c r="A101" s="8">
        <v>90</v>
      </c>
      <c r="B101" s="8" t="s">
        <v>256</v>
      </c>
      <c r="C101" s="8" t="s">
        <v>257</v>
      </c>
      <c r="D101" s="8" t="s">
        <v>258</v>
      </c>
      <c r="E101" s="4"/>
      <c r="F101" s="12" t="str" cm="1">
        <f t="array" ref="F101">_xlfn.IFS(E101=0, "0", E101&lt;=4, "10", E101&lt;=10, "23", E101&lt;=15, "25", E101&lt;=20, "28",E101&lt;=25, "30", E101&lt;=30, "35", E101&lt;=40, "38")</f>
        <v>0</v>
      </c>
      <c r="G101" s="16" t="str" cm="1">
        <f t="array" ref="G101">_xlfn.IFS(E101=0, "0", E101&lt;=4, "5", E101&lt;=10, "12", E101&lt;=15, "13", E101&lt;=20, "14",E101&lt;=25, "15", E101&lt;=30, "16", E101&lt;=40, "17")</f>
        <v>0</v>
      </c>
      <c r="H101" s="12">
        <f t="shared" si="1"/>
        <v>0</v>
      </c>
      <c r="N101" s="11"/>
    </row>
    <row r="102" spans="1:14">
      <c r="A102" s="8">
        <v>91</v>
      </c>
      <c r="B102" s="8" t="s">
        <v>259</v>
      </c>
      <c r="C102" s="8" t="s">
        <v>260</v>
      </c>
      <c r="D102" s="8" t="s">
        <v>59</v>
      </c>
      <c r="E102" s="4"/>
      <c r="F102" s="12" t="str" cm="1">
        <f t="array" ref="F102">_xlfn.IFS(E102=0, "0", E102&lt;=4, "10", E102&lt;=10, "23", E102&lt;=15, "25", E102&lt;=20, "28",E102&lt;=25, "30", E102&lt;=30, "35", E102&lt;=40, "38")</f>
        <v>0</v>
      </c>
      <c r="G102" s="16" t="str" cm="1">
        <f t="array" ref="G102">_xlfn.IFS(E102=0, "0", E102&lt;=4, "5", E102&lt;=10, "12", E102&lt;=15, "13", E102&lt;=20, "14",E102&lt;=25, "15", E102&lt;=30, "16", E102&lt;=40, "17")</f>
        <v>0</v>
      </c>
      <c r="H102" s="12">
        <f t="shared" si="1"/>
        <v>0</v>
      </c>
      <c r="N102" s="11"/>
    </row>
    <row r="103" spans="1:14">
      <c r="A103" s="8">
        <v>92</v>
      </c>
      <c r="B103" s="8" t="s">
        <v>261</v>
      </c>
      <c r="C103" s="8" t="s">
        <v>262</v>
      </c>
      <c r="D103" s="8" t="s">
        <v>180</v>
      </c>
      <c r="E103" s="4">
        <v>10</v>
      </c>
      <c r="F103" s="12" t="str" cm="1">
        <f t="array" ref="F103">_xlfn.IFS(E103=0, "0", E103&lt;=4, "10", E103&lt;=10, "23", E103&lt;=15, "25", E103&lt;=20, "28",E103&lt;=25, "30", E103&lt;=30, "35", E103&lt;=40, "38")</f>
        <v>23</v>
      </c>
      <c r="G103" s="16" t="str" cm="1">
        <f t="array" ref="G103">_xlfn.IFS(E103=0, "0", E103&lt;=4, "5", E103&lt;=10, "12", E103&lt;=15, "13", E103&lt;=20, "14",E103&lt;=25, "15", E103&lt;=30, "16", E103&lt;=40, "17")</f>
        <v>12</v>
      </c>
      <c r="H103" s="12">
        <f t="shared" si="1"/>
        <v>45</v>
      </c>
      <c r="N103" s="11"/>
    </row>
    <row r="104" spans="1:14">
      <c r="A104" s="8">
        <v>93</v>
      </c>
      <c r="B104" s="8" t="s">
        <v>263</v>
      </c>
      <c r="C104" s="8" t="s">
        <v>264</v>
      </c>
      <c r="D104" s="8" t="s">
        <v>265</v>
      </c>
      <c r="E104" s="4"/>
      <c r="F104" s="12" t="str" cm="1">
        <f t="array" ref="F104">_xlfn.IFS(E104=0, "0", E104&lt;=4, "10", E104&lt;=10, "23", E104&lt;=15, "25", E104&lt;=20, "28",E104&lt;=25, "30", E104&lt;=30, "35", E104&lt;=40, "38")</f>
        <v>0</v>
      </c>
      <c r="G104" s="16" t="str" cm="1">
        <f t="array" ref="G104">_xlfn.IFS(E104=0, "0", E104&lt;=4, "5", E104&lt;=10, "12", E104&lt;=15, "13", E104&lt;=20, "14",E104&lt;=25, "15", E104&lt;=30, "16", E104&lt;=40, "17")</f>
        <v>0</v>
      </c>
      <c r="H104" s="12">
        <f t="shared" si="1"/>
        <v>0</v>
      </c>
      <c r="N104" s="11"/>
    </row>
    <row r="105" spans="1:14">
      <c r="A105" s="8">
        <v>94</v>
      </c>
      <c r="B105" s="8" t="s">
        <v>266</v>
      </c>
      <c r="C105" s="8" t="s">
        <v>267</v>
      </c>
      <c r="D105" s="8" t="s">
        <v>70</v>
      </c>
      <c r="E105" s="4">
        <v>9</v>
      </c>
      <c r="F105" s="12" t="str" cm="1">
        <f t="array" ref="F105">_xlfn.IFS(E105=0, "0", E105&lt;=4, "10", E105&lt;=10, "23", E105&lt;=15, "25", E105&lt;=20, "28",E105&lt;=25, "30", E105&lt;=30, "35", E105&lt;=40, "38")</f>
        <v>23</v>
      </c>
      <c r="G105" s="16" t="str" cm="1">
        <f t="array" ref="G105">_xlfn.IFS(E105=0, "0", E105&lt;=4, "5", E105&lt;=10, "12", E105&lt;=15, "13", E105&lt;=20, "14",E105&lt;=25, "15", E105&lt;=30, "16", E105&lt;=40, "17")</f>
        <v>12</v>
      </c>
      <c r="H105" s="12">
        <f t="shared" si="1"/>
        <v>44</v>
      </c>
      <c r="N105" s="11"/>
    </row>
    <row r="106" spans="1:14">
      <c r="A106" s="8">
        <v>95</v>
      </c>
      <c r="B106" s="8" t="s">
        <v>268</v>
      </c>
      <c r="C106" s="8" t="s">
        <v>133</v>
      </c>
      <c r="D106" s="8" t="s">
        <v>93</v>
      </c>
      <c r="E106" s="4">
        <v>20</v>
      </c>
      <c r="F106" s="12" t="str" cm="1">
        <f t="array" ref="F106">_xlfn.IFS(E106=0, "0", E106&lt;=4, "10", E106&lt;=10, "23", E106&lt;=15, "25", E106&lt;=20, "28",E106&lt;=25, "30", E106&lt;=30, "35", E106&lt;=40, "38")</f>
        <v>28</v>
      </c>
      <c r="G106" s="16" t="str" cm="1">
        <f t="array" ref="G106">_xlfn.IFS(E106=0, "0", E106&lt;=4, "5", E106&lt;=10, "12", E106&lt;=15, "13", E106&lt;=20, "14",E106&lt;=25, "15", E106&lt;=30, "16", E106&lt;=40, "17")</f>
        <v>14</v>
      </c>
      <c r="H106" s="12">
        <f t="shared" si="1"/>
        <v>62</v>
      </c>
      <c r="N106" s="11"/>
    </row>
    <row r="107" spans="1:14">
      <c r="A107" s="8">
        <v>96</v>
      </c>
      <c r="B107" s="8" t="s">
        <v>269</v>
      </c>
      <c r="C107" s="8" t="s">
        <v>270</v>
      </c>
      <c r="D107" s="8" t="s">
        <v>250</v>
      </c>
      <c r="E107" s="4">
        <v>8</v>
      </c>
      <c r="F107" s="12" t="str" cm="1">
        <f t="array" ref="F107">_xlfn.IFS(E107=0, "0", E107&lt;=4, "10", E107&lt;=10, "23", E107&lt;=15, "25", E107&lt;=20, "28",E107&lt;=25, "30", E107&lt;=30, "35", E107&lt;=40, "38")</f>
        <v>23</v>
      </c>
      <c r="G107" s="16" t="str" cm="1">
        <f t="array" ref="G107">_xlfn.IFS(E107=0, "0", E107&lt;=4, "5", E107&lt;=10, "12", E107&lt;=15, "13", E107&lt;=20, "14",E107&lt;=25, "15", E107&lt;=30, "16", E107&lt;=40, "17")</f>
        <v>12</v>
      </c>
      <c r="H107" s="12">
        <f t="shared" si="1"/>
        <v>43</v>
      </c>
      <c r="N107" s="11"/>
    </row>
    <row r="108" spans="1:14">
      <c r="A108" s="8">
        <v>97</v>
      </c>
      <c r="B108" s="8" t="s">
        <v>271</v>
      </c>
      <c r="C108" s="8" t="s">
        <v>272</v>
      </c>
      <c r="D108" s="8" t="s">
        <v>273</v>
      </c>
      <c r="E108" s="4">
        <v>27</v>
      </c>
      <c r="F108" s="12" t="str" cm="1">
        <f t="array" ref="F108">_xlfn.IFS(E108=0, "0", E108&lt;=4, "10", E108&lt;=10, "23", E108&lt;=15, "25", E108&lt;=20, "28",E108&lt;=25, "30", E108&lt;=30, "35", E108&lt;=40, "38")</f>
        <v>35</v>
      </c>
      <c r="G108" s="16" t="str" cm="1">
        <f t="array" ref="G108">_xlfn.IFS(E108=0, "0", E108&lt;=4, "5", E108&lt;=10, "12", E108&lt;=15, "13", E108&lt;=20, "14",E108&lt;=25, "15", E108&lt;=30, "16", E108&lt;=40, "17")</f>
        <v>16</v>
      </c>
      <c r="H108" s="12">
        <f t="shared" si="1"/>
        <v>78</v>
      </c>
      <c r="N108" s="11"/>
    </row>
    <row r="109" spans="1:14">
      <c r="A109" s="8">
        <v>98</v>
      </c>
      <c r="B109" s="8" t="s">
        <v>274</v>
      </c>
      <c r="C109" s="8" t="s">
        <v>275</v>
      </c>
      <c r="D109" s="8" t="s">
        <v>116</v>
      </c>
      <c r="E109" s="4"/>
      <c r="F109" s="12" t="str" cm="1">
        <f t="array" ref="F109">_xlfn.IFS(E109=0, "0", E109&lt;=4, "10", E109&lt;=10, "23", E109&lt;=15, "25", E109&lt;=20, "28",E109&lt;=25, "30", E109&lt;=30, "35", E109&lt;=40, "38")</f>
        <v>0</v>
      </c>
      <c r="G109" s="16" t="str" cm="1">
        <f t="array" ref="G109">_xlfn.IFS(E109=0, "0", E109&lt;=4, "5", E109&lt;=10, "12", E109&lt;=15, "13", E109&lt;=20, "14",E109&lt;=25, "15", E109&lt;=30, "16", E109&lt;=40, "17")</f>
        <v>0</v>
      </c>
      <c r="H109" s="12">
        <f t="shared" si="1"/>
        <v>0</v>
      </c>
      <c r="N109" s="11"/>
    </row>
    <row r="110" spans="1:14">
      <c r="A110" s="8">
        <v>99</v>
      </c>
      <c r="B110" s="8" t="s">
        <v>276</v>
      </c>
      <c r="C110" s="8" t="s">
        <v>277</v>
      </c>
      <c r="D110" s="8" t="s">
        <v>278</v>
      </c>
      <c r="E110" s="4">
        <v>4</v>
      </c>
      <c r="F110" s="12" t="str" cm="1">
        <f t="array" ref="F110">_xlfn.IFS(E110=0, "0", E110&lt;=4, "10", E110&lt;=10, "23", E110&lt;=15, "25", E110&lt;=20, "28",E110&lt;=25, "30", E110&lt;=30, "35", E110&lt;=40, "38")</f>
        <v>10</v>
      </c>
      <c r="G110" s="16" t="str" cm="1">
        <f t="array" ref="G110">_xlfn.IFS(E110=0, "0", E110&lt;=4, "5", E110&lt;=10, "12", E110&lt;=15, "13", E110&lt;=20, "14",E110&lt;=25, "15", E110&lt;=30, "16", E110&lt;=40, "17")</f>
        <v>5</v>
      </c>
      <c r="H110" s="12">
        <f t="shared" si="1"/>
        <v>19</v>
      </c>
      <c r="N110" s="11"/>
    </row>
    <row r="111" spans="1:14">
      <c r="A111" s="8">
        <v>100</v>
      </c>
      <c r="B111" s="8" t="s">
        <v>279</v>
      </c>
      <c r="C111" s="8" t="s">
        <v>280</v>
      </c>
      <c r="D111" s="8" t="s">
        <v>281</v>
      </c>
      <c r="E111" s="4"/>
      <c r="F111" s="12" t="str" cm="1">
        <f t="array" ref="F111">_xlfn.IFS(E111=0, "0", E111&lt;=4, "10", E111&lt;=10, "23", E111&lt;=15, "25", E111&lt;=20, "28",E111&lt;=25, "30", E111&lt;=30, "35", E111&lt;=40, "38")</f>
        <v>0</v>
      </c>
      <c r="G111" s="16" t="str" cm="1">
        <f t="array" ref="G111">_xlfn.IFS(E111=0, "0", E111&lt;=4, "5", E111&lt;=10, "12", E111&lt;=15, "13", E111&lt;=20, "14",E111&lt;=25, "15", E111&lt;=30, "16", E111&lt;=40, "17")</f>
        <v>0</v>
      </c>
      <c r="H111" s="12">
        <f t="shared" si="1"/>
        <v>0</v>
      </c>
      <c r="N111" s="11"/>
    </row>
    <row r="112" spans="1:14">
      <c r="A112" s="8">
        <v>101</v>
      </c>
      <c r="B112" s="8" t="s">
        <v>282</v>
      </c>
      <c r="C112" s="8" t="s">
        <v>283</v>
      </c>
      <c r="D112" s="8" t="s">
        <v>284</v>
      </c>
      <c r="E112" s="4">
        <v>2</v>
      </c>
      <c r="F112" s="12" t="str" cm="1">
        <f t="array" ref="F112">_xlfn.IFS(E112=0, "0", E112&lt;=4, "10", E112&lt;=10, "23", E112&lt;=15, "25", E112&lt;=20, "28",E112&lt;=25, "30", E112&lt;=30, "35", E112&lt;=40, "38")</f>
        <v>10</v>
      </c>
      <c r="G112" s="16" t="str" cm="1">
        <f t="array" ref="G112">_xlfn.IFS(E112=0, "0", E112&lt;=4, "5", E112&lt;=10, "12", E112&lt;=15, "13", E112&lt;=20, "14",E112&lt;=25, "15", E112&lt;=30, "16", E112&lt;=40, "17")</f>
        <v>5</v>
      </c>
      <c r="H112" s="12">
        <f t="shared" si="1"/>
        <v>17</v>
      </c>
      <c r="N112" s="11"/>
    </row>
    <row r="113" spans="1:14">
      <c r="A113" s="8">
        <v>102</v>
      </c>
      <c r="B113" s="8" t="s">
        <v>285</v>
      </c>
      <c r="C113" s="8" t="s">
        <v>286</v>
      </c>
      <c r="D113" s="8" t="s">
        <v>287</v>
      </c>
      <c r="E113" s="4">
        <v>20</v>
      </c>
      <c r="F113" s="12" t="str" cm="1">
        <f t="array" ref="F113">_xlfn.IFS(E113=0, "0", E113&lt;=4, "10", E113&lt;=10, "23", E113&lt;=15, "25", E113&lt;=20, "28",E113&lt;=25, "30", E113&lt;=30, "35", E113&lt;=40, "38")</f>
        <v>28</v>
      </c>
      <c r="G113" s="16" t="str" cm="1">
        <f t="array" ref="G113">_xlfn.IFS(E113=0, "0", E113&lt;=4, "5", E113&lt;=10, "12", E113&lt;=15, "13", E113&lt;=20, "14",E113&lt;=25, "15", E113&lt;=30, "16", E113&lt;=40, "17")</f>
        <v>14</v>
      </c>
      <c r="H113" s="12">
        <f t="shared" si="1"/>
        <v>62</v>
      </c>
      <c r="N113" s="11"/>
    </row>
    <row r="114" spans="1:14">
      <c r="A114" s="8">
        <v>103</v>
      </c>
      <c r="B114" s="8" t="s">
        <v>288</v>
      </c>
      <c r="C114" s="8" t="s">
        <v>289</v>
      </c>
      <c r="D114" s="8" t="s">
        <v>183</v>
      </c>
      <c r="E114" s="4">
        <v>6</v>
      </c>
      <c r="F114" s="12" t="str" cm="1">
        <f t="array" ref="F114">_xlfn.IFS(E114=0, "0", E114&lt;=4, "10", E114&lt;=10, "23", E114&lt;=15, "25", E114&lt;=20, "28",E114&lt;=25, "30", E114&lt;=30, "35", E114&lt;=40, "38")</f>
        <v>23</v>
      </c>
      <c r="G114" s="16" t="str" cm="1">
        <f t="array" ref="G114">_xlfn.IFS(E114=0, "0", E114&lt;=4, "5", E114&lt;=10, "12", E114&lt;=15, "13", E114&lt;=20, "14",E114&lt;=25, "15", E114&lt;=30, "16", E114&lt;=40, "17")</f>
        <v>12</v>
      </c>
      <c r="H114" s="12">
        <f t="shared" si="1"/>
        <v>41</v>
      </c>
      <c r="N114" s="11"/>
    </row>
    <row r="115" spans="1:14">
      <c r="A115" s="8">
        <v>104</v>
      </c>
      <c r="B115" s="8" t="s">
        <v>290</v>
      </c>
      <c r="C115" s="8" t="s">
        <v>291</v>
      </c>
      <c r="D115" s="8" t="s">
        <v>102</v>
      </c>
      <c r="E115" s="4">
        <v>17</v>
      </c>
      <c r="F115" s="12" t="str" cm="1">
        <f t="array" ref="F115">_xlfn.IFS(E115=0, "0", E115&lt;=4, "10", E115&lt;=10, "23", E115&lt;=15, "25", E115&lt;=20, "28",E115&lt;=25, "30", E115&lt;=30, "35", E115&lt;=40, "38")</f>
        <v>28</v>
      </c>
      <c r="G115" s="16">
        <v>15</v>
      </c>
      <c r="H115" s="12">
        <f t="shared" si="1"/>
        <v>60</v>
      </c>
      <c r="N115" s="11"/>
    </row>
    <row r="116" spans="1:14">
      <c r="A116" s="8">
        <v>105</v>
      </c>
      <c r="B116" s="8" t="s">
        <v>292</v>
      </c>
      <c r="C116" s="8" t="s">
        <v>293</v>
      </c>
      <c r="D116" s="8" t="s">
        <v>294</v>
      </c>
      <c r="E116" s="4">
        <v>18</v>
      </c>
      <c r="F116" s="12" t="str" cm="1">
        <f t="array" ref="F116">_xlfn.IFS(E116=0, "0", E116&lt;=4, "10", E116&lt;=10, "23", E116&lt;=15, "25", E116&lt;=20, "28",E116&lt;=25, "30", E116&lt;=30, "35", E116&lt;=40, "38")</f>
        <v>28</v>
      </c>
      <c r="G116" s="16" t="str" cm="1">
        <f t="array" ref="G116">_xlfn.IFS(E116=0, "0", E116&lt;=4, "5", E116&lt;=10, "12", E116&lt;=15, "13", E116&lt;=20, "14",E116&lt;=25, "15", E116&lt;=30, "16", E116&lt;=40, "17")</f>
        <v>14</v>
      </c>
      <c r="H116" s="12">
        <f t="shared" si="1"/>
        <v>60</v>
      </c>
      <c r="N116" s="11"/>
    </row>
    <row r="117" spans="1:14">
      <c r="A117" s="8">
        <v>106</v>
      </c>
      <c r="B117" s="8" t="s">
        <v>295</v>
      </c>
      <c r="C117" s="8" t="s">
        <v>296</v>
      </c>
      <c r="D117" s="8" t="s">
        <v>297</v>
      </c>
      <c r="E117" s="4">
        <v>19</v>
      </c>
      <c r="F117" s="12" t="str" cm="1">
        <f t="array" ref="F117">_xlfn.IFS(E117=0, "0", E117&lt;=4, "10", E117&lt;=10, "23", E117&lt;=15, "25", E117&lt;=20, "28",E117&lt;=25, "30", E117&lt;=30, "35", E117&lt;=40, "38")</f>
        <v>28</v>
      </c>
      <c r="G117" s="16" t="str" cm="1">
        <f t="array" ref="G117">_xlfn.IFS(E117=0, "0", E117&lt;=4, "5", E117&lt;=10, "12", E117&lt;=15, "13", E117&lt;=20, "14",E117&lt;=25, "15", E117&lt;=30, "16", E117&lt;=40, "17")</f>
        <v>14</v>
      </c>
      <c r="H117" s="12">
        <f t="shared" si="1"/>
        <v>61</v>
      </c>
      <c r="N117" s="11"/>
    </row>
    <row r="118" spans="1:14">
      <c r="A118" s="8">
        <v>107</v>
      </c>
      <c r="B118" s="8" t="s">
        <v>298</v>
      </c>
      <c r="C118" s="8" t="s">
        <v>299</v>
      </c>
      <c r="D118" s="8" t="s">
        <v>300</v>
      </c>
      <c r="E118" s="4">
        <v>25</v>
      </c>
      <c r="F118" s="12" t="str" cm="1">
        <f t="array" ref="F118">_xlfn.IFS(E118=0, "0", E118&lt;=4, "10", E118&lt;=10, "23", E118&lt;=15, "25", E118&lt;=20, "28",E118&lt;=25, "30", E118&lt;=30, "35", E118&lt;=40, "38")</f>
        <v>30</v>
      </c>
      <c r="G118" s="16" t="str" cm="1">
        <f t="array" ref="G118">_xlfn.IFS(E118=0, "0", E118&lt;=4, "5", E118&lt;=10, "12", E118&lt;=15, "13", E118&lt;=20, "14",E118&lt;=25, "15", E118&lt;=30, "16", E118&lt;=40, "17")</f>
        <v>15</v>
      </c>
      <c r="H118" s="12">
        <f t="shared" si="1"/>
        <v>70</v>
      </c>
      <c r="N118" s="11"/>
    </row>
    <row r="119" spans="1:14">
      <c r="A119" s="8">
        <v>108</v>
      </c>
      <c r="B119" s="8" t="s">
        <v>301</v>
      </c>
      <c r="C119" s="8" t="s">
        <v>302</v>
      </c>
      <c r="D119" s="8" t="s">
        <v>303</v>
      </c>
      <c r="E119" s="4">
        <v>26</v>
      </c>
      <c r="F119" s="12" t="str" cm="1">
        <f t="array" ref="F119">_xlfn.IFS(E119=0, "0", E119&lt;=4, "10", E119&lt;=10, "23", E119&lt;=15, "25", E119&lt;=20, "28",E119&lt;=25, "30", E119&lt;=30, "35", E119&lt;=40, "38")</f>
        <v>35</v>
      </c>
      <c r="G119" s="16" t="str" cm="1">
        <f t="array" ref="G119">_xlfn.IFS(E119=0, "0", E119&lt;=4, "5", E119&lt;=10, "12", E119&lt;=15, "13", E119&lt;=20, "14",E119&lt;=25, "15", E119&lt;=30, "16", E119&lt;=40, "17")</f>
        <v>16</v>
      </c>
      <c r="H119" s="12">
        <f t="shared" si="1"/>
        <v>77</v>
      </c>
      <c r="N119" s="11"/>
    </row>
    <row r="120" spans="1:14">
      <c r="A120" s="8">
        <v>109</v>
      </c>
      <c r="B120" s="8" t="s">
        <v>304</v>
      </c>
      <c r="C120" s="8" t="s">
        <v>305</v>
      </c>
      <c r="D120" s="8" t="s">
        <v>229</v>
      </c>
      <c r="E120" s="4">
        <v>8</v>
      </c>
      <c r="F120" s="12" t="str" cm="1">
        <f t="array" ref="F120">_xlfn.IFS(E120=0, "0", E120&lt;=4, "10", E120&lt;=10, "23", E120&lt;=15, "25", E120&lt;=20, "28",E120&lt;=25, "30", E120&lt;=30, "35", E120&lt;=40, "38")</f>
        <v>23</v>
      </c>
      <c r="G120" s="16" t="str" cm="1">
        <f t="array" ref="G120">_xlfn.IFS(E120=0, "0", E120&lt;=4, "5", E120&lt;=10, "12", E120&lt;=15, "13", E120&lt;=20, "14",E120&lt;=25, "15", E120&lt;=30, "16", E120&lt;=40, "17")</f>
        <v>12</v>
      </c>
      <c r="H120" s="12">
        <f t="shared" si="1"/>
        <v>43</v>
      </c>
      <c r="N120" s="11"/>
    </row>
    <row r="121" spans="1:14">
      <c r="A121" s="8">
        <v>110</v>
      </c>
      <c r="B121" s="8" t="s">
        <v>306</v>
      </c>
      <c r="C121" s="8" t="s">
        <v>133</v>
      </c>
      <c r="D121" s="8" t="s">
        <v>210</v>
      </c>
      <c r="E121" s="4">
        <v>28</v>
      </c>
      <c r="F121" s="12" t="str" cm="1">
        <f t="array" ref="F121">_xlfn.IFS(E121=0, "0", E121&lt;=4, "10", E121&lt;=10, "23", E121&lt;=15, "25", E121&lt;=20, "28",E121&lt;=25, "30", E121&lt;=30, "35", E121&lt;=40, "38")</f>
        <v>35</v>
      </c>
      <c r="G121" s="16" t="str" cm="1">
        <f t="array" ref="G121">_xlfn.IFS(E121=0, "0", E121&lt;=4, "5", E121&lt;=10, "12", E121&lt;=15, "13", E121&lt;=20, "14",E121&lt;=25, "15", E121&lt;=30, "16", E121&lt;=40, "17")</f>
        <v>16</v>
      </c>
      <c r="H121" s="12">
        <f t="shared" si="1"/>
        <v>79</v>
      </c>
      <c r="N121" s="11"/>
    </row>
    <row r="122" spans="1:14">
      <c r="A122" s="8">
        <v>111</v>
      </c>
      <c r="B122" s="8" t="s">
        <v>307</v>
      </c>
      <c r="C122" s="8" t="s">
        <v>308</v>
      </c>
      <c r="D122" s="8" t="s">
        <v>309</v>
      </c>
      <c r="E122" s="4">
        <v>21</v>
      </c>
      <c r="F122" s="12" t="str" cm="1">
        <f t="array" ref="F122">_xlfn.IFS(E122=0, "0", E122&lt;=4, "10", E122&lt;=10, "23", E122&lt;=15, "25", E122&lt;=20, "28",E122&lt;=25, "30", E122&lt;=30, "35", E122&lt;=40, "38")</f>
        <v>30</v>
      </c>
      <c r="G122" s="16" t="str" cm="1">
        <f t="array" ref="G122">_xlfn.IFS(E122=0, "0", E122&lt;=4, "5", E122&lt;=10, "12", E122&lt;=15, "13", E122&lt;=20, "14",E122&lt;=25, "15", E122&lt;=30, "16", E122&lt;=40, "17")</f>
        <v>15</v>
      </c>
      <c r="H122" s="12">
        <f t="shared" si="1"/>
        <v>66</v>
      </c>
      <c r="N122" s="11"/>
    </row>
    <row r="123" spans="1:14">
      <c r="A123" s="8">
        <v>112</v>
      </c>
      <c r="B123" s="8" t="s">
        <v>310</v>
      </c>
      <c r="C123" s="8" t="s">
        <v>311</v>
      </c>
      <c r="D123" s="8" t="s">
        <v>312</v>
      </c>
      <c r="E123" s="4">
        <v>23</v>
      </c>
      <c r="F123" s="12" t="str" cm="1">
        <f t="array" ref="F123">_xlfn.IFS(E123=0, "0", E123&lt;=4, "10", E123&lt;=10, "23", E123&lt;=15, "25", E123&lt;=20, "28",E123&lt;=25, "30", E123&lt;=30, "35", E123&lt;=40, "38")</f>
        <v>30</v>
      </c>
      <c r="G123" s="16" t="str" cm="1">
        <f t="array" ref="G123">_xlfn.IFS(E123=0, "0", E123&lt;=4, "5", E123&lt;=10, "12", E123&lt;=15, "13", E123&lt;=20, "14",E123&lt;=25, "15", E123&lt;=30, "16", E123&lt;=40, "17")</f>
        <v>15</v>
      </c>
      <c r="H123" s="12">
        <f t="shared" si="1"/>
        <v>68</v>
      </c>
      <c r="N123" s="11"/>
    </row>
    <row r="124" spans="1:14">
      <c r="A124" s="8">
        <v>113</v>
      </c>
      <c r="B124" s="8" t="s">
        <v>313</v>
      </c>
      <c r="C124" s="8" t="s">
        <v>311</v>
      </c>
      <c r="D124" s="8" t="s">
        <v>314</v>
      </c>
      <c r="E124" s="4">
        <v>0</v>
      </c>
      <c r="F124" s="12" t="str" cm="1">
        <f t="array" ref="F124">_xlfn.IFS(E124=0, "0", E124&lt;=4, "10", E124&lt;=10, "23", E124&lt;=15, "25", E124&lt;=20, "28",E124&lt;=25, "30", E124&lt;=30, "35", E124&lt;=40, "38")</f>
        <v>0</v>
      </c>
      <c r="G124" s="16" t="str" cm="1">
        <f t="array" ref="G124">_xlfn.IFS(E124=0, "0", E124&lt;=4, "5", E124&lt;=10, "12", E124&lt;=15, "13", E124&lt;=20, "14",E124&lt;=25, "15", E124&lt;=30, "16", E124&lt;=40, "17")</f>
        <v>0</v>
      </c>
      <c r="H124" s="12">
        <f t="shared" si="1"/>
        <v>0</v>
      </c>
      <c r="N124" s="11"/>
    </row>
    <row r="125" spans="1:14">
      <c r="A125" s="8">
        <v>114</v>
      </c>
      <c r="B125" s="8" t="s">
        <v>315</v>
      </c>
      <c r="C125" s="8" t="s">
        <v>316</v>
      </c>
      <c r="D125" s="8" t="s">
        <v>317</v>
      </c>
      <c r="E125" s="4">
        <v>22</v>
      </c>
      <c r="F125" s="12" t="str" cm="1">
        <f t="array" ref="F125">_xlfn.IFS(E125=0, "0", E125&lt;=4, "10", E125&lt;=10, "23", E125&lt;=15, "25", E125&lt;=20, "28",E125&lt;=25, "30", E125&lt;=30, "35", E125&lt;=40, "38")</f>
        <v>30</v>
      </c>
      <c r="G125" s="16" t="str" cm="1">
        <f t="array" ref="G125">_xlfn.IFS(E125=0, "0", E125&lt;=4, "5", E125&lt;=10, "12", E125&lt;=15, "13", E125&lt;=20, "14",E125&lt;=25, "15", E125&lt;=30, "16", E125&lt;=40, "17")</f>
        <v>15</v>
      </c>
      <c r="H125" s="12">
        <f t="shared" si="1"/>
        <v>67</v>
      </c>
      <c r="N125" s="11"/>
    </row>
    <row r="126" spans="1:14">
      <c r="A126" s="8">
        <v>115</v>
      </c>
      <c r="B126" s="8" t="s">
        <v>318</v>
      </c>
      <c r="C126" s="8" t="s">
        <v>319</v>
      </c>
      <c r="D126" s="8" t="s">
        <v>320</v>
      </c>
      <c r="E126" s="4">
        <v>22</v>
      </c>
      <c r="F126" s="12" t="str" cm="1">
        <f t="array" ref="F126">_xlfn.IFS(E126=0, "0", E126&lt;=4, "10", E126&lt;=10, "23", E126&lt;=15, "25", E126&lt;=20, "28",E126&lt;=25, "30", E126&lt;=30, "35", E126&lt;=40, "38")</f>
        <v>30</v>
      </c>
      <c r="G126" s="16" t="str" cm="1">
        <f t="array" ref="G126">_xlfn.IFS(E126=0, "0", E126&lt;=4, "5", E126&lt;=10, "12", E126&lt;=15, "13", E126&lt;=20, "14",E126&lt;=25, "15", E126&lt;=30, "16", E126&lt;=40, "17")</f>
        <v>15</v>
      </c>
      <c r="H126" s="12">
        <f t="shared" si="1"/>
        <v>67</v>
      </c>
      <c r="N126" s="11"/>
    </row>
    <row r="127" spans="1:14">
      <c r="A127" s="8">
        <v>116</v>
      </c>
      <c r="B127" s="8" t="s">
        <v>321</v>
      </c>
      <c r="C127" s="8" t="s">
        <v>322</v>
      </c>
      <c r="D127" s="8" t="s">
        <v>87</v>
      </c>
      <c r="E127" s="4"/>
      <c r="F127" s="12" t="str" cm="1">
        <f t="array" ref="F127">_xlfn.IFS(E127=0, "0", E127&lt;=4, "10", E127&lt;=10, "23", E127&lt;=15, "25", E127&lt;=20, "28",E127&lt;=25, "30", E127&lt;=30, "35", E127&lt;=40, "38")</f>
        <v>0</v>
      </c>
      <c r="G127" s="16" t="str" cm="1">
        <f t="array" ref="G127">_xlfn.IFS(E127=0, "0", E127&lt;=4, "5", E127&lt;=10, "12", E127&lt;=15, "13", E127&lt;=20, "14",E127&lt;=25, "15", E127&lt;=30, "16", E127&lt;=40, "17")</f>
        <v>0</v>
      </c>
      <c r="H127" s="12">
        <f t="shared" si="1"/>
        <v>0</v>
      </c>
      <c r="N127" s="11"/>
    </row>
    <row r="128" spans="1:14">
      <c r="A128" s="8">
        <v>117</v>
      </c>
      <c r="B128" s="8" t="s">
        <v>323</v>
      </c>
      <c r="C128" s="8" t="s">
        <v>280</v>
      </c>
      <c r="D128" s="8" t="s">
        <v>324</v>
      </c>
      <c r="E128" s="4">
        <v>16</v>
      </c>
      <c r="F128" s="12" t="str" cm="1">
        <f t="array" ref="F128">_xlfn.IFS(E128=0, "0", E128&lt;=4, "10", E128&lt;=10, "23", E128&lt;=15, "25", E128&lt;=20, "28",E128&lt;=25, "30", E128&lt;=30, "35", E128&lt;=40, "38")</f>
        <v>28</v>
      </c>
      <c r="G128" s="16" t="str" cm="1">
        <f t="array" ref="G128">_xlfn.IFS(E128=0, "0", E128&lt;=4, "5", E128&lt;=10, "12", E128&lt;=15, "13", E128&lt;=20, "14",E128&lt;=25, "15", E128&lt;=30, "16", E128&lt;=40, "17")</f>
        <v>14</v>
      </c>
      <c r="H128" s="12">
        <f t="shared" si="1"/>
        <v>58</v>
      </c>
      <c r="N128" s="11"/>
    </row>
    <row r="129" spans="1:14">
      <c r="A129" s="8">
        <v>118</v>
      </c>
      <c r="B129" s="8" t="s">
        <v>325</v>
      </c>
      <c r="C129" s="8" t="s">
        <v>326</v>
      </c>
      <c r="D129" s="8" t="s">
        <v>145</v>
      </c>
      <c r="E129" s="4">
        <v>23</v>
      </c>
      <c r="F129" s="12" t="str" cm="1">
        <f t="array" ref="F129">_xlfn.IFS(E129=0, "0", E129&lt;=4, "10", E129&lt;=10, "23", E129&lt;=15, "25", E129&lt;=20, "28",E129&lt;=25, "30", E129&lt;=30, "35", E129&lt;=40, "38")</f>
        <v>30</v>
      </c>
      <c r="G129" s="16" t="str" cm="1">
        <f t="array" ref="G129">_xlfn.IFS(E129=0, "0", E129&lt;=4, "5", E129&lt;=10, "12", E129&lt;=15, "13", E129&lt;=20, "14",E129&lt;=25, "15", E129&lt;=30, "16", E129&lt;=40, "17")</f>
        <v>15</v>
      </c>
      <c r="H129" s="12">
        <f t="shared" si="1"/>
        <v>68</v>
      </c>
      <c r="N129" s="11"/>
    </row>
    <row r="130" spans="1:14">
      <c r="A130" s="8">
        <v>119</v>
      </c>
      <c r="B130" s="8" t="s">
        <v>327</v>
      </c>
      <c r="C130" s="8" t="s">
        <v>328</v>
      </c>
      <c r="D130" s="8" t="s">
        <v>329</v>
      </c>
      <c r="E130" s="4">
        <v>19</v>
      </c>
      <c r="F130" s="12" t="str" cm="1">
        <f t="array" ref="F130">_xlfn.IFS(E130=0, "0", E130&lt;=4, "10", E130&lt;=10, "23", E130&lt;=15, "25", E130&lt;=20, "28",E130&lt;=25, "30", E130&lt;=30, "35", E130&lt;=40, "38")</f>
        <v>28</v>
      </c>
      <c r="G130" s="16" t="str" cm="1">
        <f t="array" ref="G130">_xlfn.IFS(E130=0, "0", E130&lt;=4, "5", E130&lt;=10, "12", E130&lt;=15, "13", E130&lt;=20, "14",E130&lt;=25, "15", E130&lt;=30, "16", E130&lt;=40, "17")</f>
        <v>14</v>
      </c>
      <c r="H130" s="12">
        <f t="shared" si="1"/>
        <v>61</v>
      </c>
      <c r="N130" s="11"/>
    </row>
    <row r="131" spans="1:14">
      <c r="A131" s="8">
        <v>120</v>
      </c>
      <c r="B131" s="8" t="s">
        <v>330</v>
      </c>
      <c r="C131" s="8" t="s">
        <v>331</v>
      </c>
      <c r="D131" s="8" t="s">
        <v>332</v>
      </c>
      <c r="E131" s="4">
        <v>29</v>
      </c>
      <c r="F131" s="12" t="str" cm="1">
        <f t="array" ref="F131">_xlfn.IFS(E131=0, "0", E131&lt;=4, "10", E131&lt;=10, "23", E131&lt;=15, "25", E131&lt;=20, "28",E131&lt;=25, "30", E131&lt;=30, "35", E131&lt;=40, "38")</f>
        <v>35</v>
      </c>
      <c r="G131" s="16" t="str" cm="1">
        <f t="array" ref="G131">_xlfn.IFS(E131=0, "0", E131&lt;=4, "5", E131&lt;=10, "12", E131&lt;=15, "13", E131&lt;=20, "14",E131&lt;=25, "15", E131&lt;=30, "16", E131&lt;=40, "17")</f>
        <v>16</v>
      </c>
      <c r="H131" s="12">
        <f t="shared" si="1"/>
        <v>80</v>
      </c>
      <c r="N131" s="11"/>
    </row>
    <row r="132" spans="1:14">
      <c r="A132" s="8">
        <v>121</v>
      </c>
      <c r="B132" s="8" t="s">
        <v>333</v>
      </c>
      <c r="C132" s="8" t="s">
        <v>334</v>
      </c>
      <c r="D132" s="8" t="s">
        <v>93</v>
      </c>
      <c r="E132" s="4">
        <v>28</v>
      </c>
      <c r="F132" s="12" t="str" cm="1">
        <f t="array" ref="F132">_xlfn.IFS(E132=0, "0", E132&lt;=4, "10", E132&lt;=10, "23", E132&lt;=15, "25", E132&lt;=20, "28",E132&lt;=25, "30", E132&lt;=30, "35", E132&lt;=40, "38")</f>
        <v>35</v>
      </c>
      <c r="G132" s="16" t="str" cm="1">
        <f t="array" ref="G132">_xlfn.IFS(E132=0, "0", E132&lt;=4, "5", E132&lt;=10, "12", E132&lt;=15, "13", E132&lt;=20, "14",E132&lt;=25, "15", E132&lt;=30, "16", E132&lt;=40, "17")</f>
        <v>16</v>
      </c>
      <c r="H132" s="12">
        <f t="shared" si="1"/>
        <v>79</v>
      </c>
      <c r="N132" s="11"/>
    </row>
    <row r="133" spans="1:14">
      <c r="A133" s="8">
        <v>122</v>
      </c>
      <c r="B133" s="8" t="s">
        <v>335</v>
      </c>
      <c r="C133" s="8" t="s">
        <v>336</v>
      </c>
      <c r="D133" s="8" t="s">
        <v>337</v>
      </c>
      <c r="E133" s="4">
        <v>5</v>
      </c>
      <c r="F133" s="12" t="str" cm="1">
        <f t="array" ref="F133">_xlfn.IFS(E133=0, "0", E133&lt;=4, "10", E133&lt;=10, "23", E133&lt;=15, "25", E133&lt;=20, "28",E133&lt;=25, "30", E133&lt;=30, "35", E133&lt;=40, "38")</f>
        <v>23</v>
      </c>
      <c r="G133" s="16" t="str" cm="1">
        <f t="array" ref="G133">_xlfn.IFS(E133=0, "0", E133&lt;=4, "5", E133&lt;=10, "12", E133&lt;=15, "13", E133&lt;=20, "14",E133&lt;=25, "15", E133&lt;=30, "16", E133&lt;=40, "17")</f>
        <v>12</v>
      </c>
      <c r="H133" s="12">
        <f t="shared" si="1"/>
        <v>40</v>
      </c>
      <c r="N133" s="11"/>
    </row>
    <row r="134" spans="1:14">
      <c r="A134" s="8">
        <v>123</v>
      </c>
      <c r="B134" s="8" t="s">
        <v>338</v>
      </c>
      <c r="C134" s="8" t="s">
        <v>339</v>
      </c>
      <c r="D134" s="8" t="s">
        <v>340</v>
      </c>
      <c r="E134" s="4">
        <v>29</v>
      </c>
      <c r="F134" s="12" t="str" cm="1">
        <f t="array" ref="F134">_xlfn.IFS(E134=0, "0", E134&lt;=4, "10", E134&lt;=10, "23", E134&lt;=15, "25", E134&lt;=20, "28",E134&lt;=25, "30", E134&lt;=30, "35", E134&lt;=40, "38")</f>
        <v>35</v>
      </c>
      <c r="G134" s="16" t="str" cm="1">
        <f t="array" ref="G134">_xlfn.IFS(E134=0, "0", E134&lt;=4, "5", E134&lt;=10, "12", E134&lt;=15, "13", E134&lt;=20, "14",E134&lt;=25, "15", E134&lt;=30, "16", E134&lt;=40, "17")</f>
        <v>16</v>
      </c>
      <c r="H134" s="12">
        <f t="shared" si="1"/>
        <v>80</v>
      </c>
      <c r="N134" s="11"/>
    </row>
    <row r="135" spans="1:14">
      <c r="A135" s="8">
        <v>124</v>
      </c>
      <c r="B135" s="8" t="s">
        <v>341</v>
      </c>
      <c r="C135" s="8" t="s">
        <v>342</v>
      </c>
      <c r="D135" s="8" t="s">
        <v>102</v>
      </c>
      <c r="E135" s="4">
        <v>22</v>
      </c>
      <c r="F135" s="12" t="str" cm="1">
        <f t="array" ref="F135">_xlfn.IFS(E135=0, "0", E135&lt;=4, "10", E135&lt;=10, "23", E135&lt;=15, "25", E135&lt;=20, "28",E135&lt;=25, "30", E135&lt;=30, "35", E135&lt;=40, "38")</f>
        <v>30</v>
      </c>
      <c r="G135" s="16" t="str" cm="1">
        <f t="array" ref="G135">_xlfn.IFS(E135=0, "0", E135&lt;=4, "5", E135&lt;=10, "12", E135&lt;=15, "13", E135&lt;=20, "14",E135&lt;=25, "15", E135&lt;=30, "16", E135&lt;=40, "17")</f>
        <v>15</v>
      </c>
      <c r="H135" s="12">
        <f t="shared" si="1"/>
        <v>67</v>
      </c>
      <c r="N135" s="11"/>
    </row>
    <row r="136" spans="1:14">
      <c r="A136" s="8">
        <v>125</v>
      </c>
      <c r="B136" s="8" t="s">
        <v>343</v>
      </c>
      <c r="C136" s="8" t="s">
        <v>344</v>
      </c>
      <c r="D136" s="8" t="s">
        <v>345</v>
      </c>
      <c r="E136" s="4">
        <v>29</v>
      </c>
      <c r="F136" s="12" t="str" cm="1">
        <f t="array" ref="F136">_xlfn.IFS(E136=0, "0", E136&lt;=4, "10", E136&lt;=10, "23", E136&lt;=15, "25", E136&lt;=20, "28",E136&lt;=25, "30", E136&lt;=30, "35", E136&lt;=40, "38")</f>
        <v>35</v>
      </c>
      <c r="G136" s="16" t="str" cm="1">
        <f t="array" ref="G136">_xlfn.IFS(E136=0, "0", E136&lt;=4, "5", E136&lt;=10, "12", E136&lt;=15, "13", E136&lt;=20, "14",E136&lt;=25, "15", E136&lt;=30, "16", E136&lt;=40, "17")</f>
        <v>16</v>
      </c>
      <c r="H136" s="12">
        <f t="shared" si="1"/>
        <v>80</v>
      </c>
      <c r="N136" s="11"/>
    </row>
    <row r="137" spans="1:14">
      <c r="A137" s="8">
        <v>126</v>
      </c>
      <c r="B137" s="8" t="s">
        <v>346</v>
      </c>
      <c r="C137" s="8" t="s">
        <v>347</v>
      </c>
      <c r="D137" s="8" t="s">
        <v>348</v>
      </c>
      <c r="E137" s="4"/>
      <c r="F137" s="12" t="str" cm="1">
        <f t="array" ref="F137">_xlfn.IFS(E137=0, "0", E137&lt;=4, "10", E137&lt;=10, "23", E137&lt;=15, "25", E137&lt;=20, "28",E137&lt;=25, "30", E137&lt;=30, "35", E137&lt;=40, "38")</f>
        <v>0</v>
      </c>
      <c r="G137" s="16" t="str" cm="1">
        <f t="array" ref="G137">_xlfn.IFS(E137=0, "0", E137&lt;=4, "5", E137&lt;=10, "12", E137&lt;=15, "13", E137&lt;=20, "14",E137&lt;=25, "15", E137&lt;=30, "16", E137&lt;=40, "17")</f>
        <v>0</v>
      </c>
      <c r="H137" s="12">
        <f t="shared" si="1"/>
        <v>0</v>
      </c>
      <c r="N137" s="11"/>
    </row>
    <row r="138" spans="1:14">
      <c r="A138" s="8">
        <v>127</v>
      </c>
      <c r="B138" s="8" t="s">
        <v>349</v>
      </c>
      <c r="C138" s="8" t="s">
        <v>350</v>
      </c>
      <c r="D138" s="8" t="s">
        <v>351</v>
      </c>
      <c r="E138" s="4">
        <v>30</v>
      </c>
      <c r="F138" s="12" t="str" cm="1">
        <f t="array" ref="F138">_xlfn.IFS(E138=0, "0", E138&lt;=4, "10", E138&lt;=10, "23", E138&lt;=15, "25", E138&lt;=20, "28",E138&lt;=25, "30", E138&lt;=30, "35", E138&lt;=40, "38")</f>
        <v>35</v>
      </c>
      <c r="G138" s="16" t="str" cm="1">
        <f t="array" ref="G138">_xlfn.IFS(E138=0, "0", E138&lt;=4, "5", E138&lt;=10, "12", E138&lt;=15, "13", E138&lt;=20, "14",E138&lt;=25, "15", E138&lt;=30, "16", E138&lt;=40, "17")</f>
        <v>16</v>
      </c>
      <c r="H138" s="12">
        <f t="shared" si="1"/>
        <v>81</v>
      </c>
      <c r="N138" s="11"/>
    </row>
    <row r="139" spans="1:14">
      <c r="A139" s="8">
        <v>128</v>
      </c>
      <c r="B139" s="8" t="s">
        <v>352</v>
      </c>
      <c r="C139" s="8" t="s">
        <v>58</v>
      </c>
      <c r="D139" s="8" t="s">
        <v>314</v>
      </c>
      <c r="E139" s="4">
        <v>15</v>
      </c>
      <c r="F139" s="12" t="str" cm="1">
        <f t="array" ref="F139">_xlfn.IFS(E139=0, "0", E139&lt;=4, "10", E139&lt;=10, "23", E139&lt;=15, "25", E139&lt;=20, "28",E139&lt;=25, "30", E139&lt;=30, "35", E139&lt;=40, "38")</f>
        <v>25</v>
      </c>
      <c r="G139" s="16" t="str" cm="1">
        <f t="array" ref="G139">_xlfn.IFS(E139=0, "0", E139&lt;=4, "5", E139&lt;=10, "12", E139&lt;=15, "13", E139&lt;=20, "14",E139&lt;=25, "15", E139&lt;=30, "16", E139&lt;=40, "17")</f>
        <v>13</v>
      </c>
      <c r="H139" s="12">
        <f t="shared" si="1"/>
        <v>53</v>
      </c>
      <c r="N139" s="11"/>
    </row>
    <row r="140" spans="1:14">
      <c r="A140" s="8">
        <v>129</v>
      </c>
      <c r="B140" s="8" t="s">
        <v>353</v>
      </c>
      <c r="C140" s="8" t="s">
        <v>354</v>
      </c>
      <c r="D140" s="8" t="s">
        <v>355</v>
      </c>
      <c r="E140" s="4">
        <v>23</v>
      </c>
      <c r="F140" s="12" t="str" cm="1">
        <f t="array" ref="F140">_xlfn.IFS(E140=0, "0", E140&lt;=4, "10", E140&lt;=10, "23", E140&lt;=15, "25", E140&lt;=20, "28",E140&lt;=25, "30", E140&lt;=30, "35", E140&lt;=40, "38")</f>
        <v>30</v>
      </c>
      <c r="G140" s="16" t="str" cm="1">
        <f t="array" ref="G140">_xlfn.IFS(E140=0, "0", E140&lt;=4, "5", E140&lt;=10, "12", E140&lt;=15, "13", E140&lt;=20, "14",E140&lt;=25, "15", E140&lt;=30, "16", E140&lt;=40, "17")</f>
        <v>15</v>
      </c>
      <c r="H140" s="12">
        <f t="shared" si="1"/>
        <v>68</v>
      </c>
      <c r="N140" s="11"/>
    </row>
    <row r="141" spans="1:14">
      <c r="A141" s="8">
        <v>130</v>
      </c>
      <c r="B141" s="8" t="s">
        <v>356</v>
      </c>
      <c r="C141" s="8" t="s">
        <v>357</v>
      </c>
      <c r="D141" s="8" t="s">
        <v>358</v>
      </c>
      <c r="E141" s="4">
        <v>25</v>
      </c>
      <c r="F141" s="12" t="str" cm="1">
        <f t="array" ref="F141">_xlfn.IFS(E141=0, "0", E141&lt;=4, "10", E141&lt;=10, "23", E141&lt;=15, "25", E141&lt;=20, "28",E141&lt;=25, "30", E141&lt;=30, "35", E141&lt;=40, "38")</f>
        <v>30</v>
      </c>
      <c r="G141" s="16" t="str" cm="1">
        <f t="array" ref="G141">_xlfn.IFS(E141=0, "0", E141&lt;=4, "5", E141&lt;=10, "12", E141&lt;=15, "13", E141&lt;=20, "14",E141&lt;=25, "15", E141&lt;=30, "16", E141&lt;=40, "17")</f>
        <v>15</v>
      </c>
      <c r="H141" s="12">
        <f t="shared" ref="H141:H204" si="2">E141+F141+G141</f>
        <v>70</v>
      </c>
      <c r="N141" s="11"/>
    </row>
    <row r="142" spans="1:14">
      <c r="A142" s="8">
        <v>131</v>
      </c>
      <c r="B142" s="8" t="s">
        <v>359</v>
      </c>
      <c r="C142" s="8" t="s">
        <v>360</v>
      </c>
      <c r="D142" s="8" t="s">
        <v>361</v>
      </c>
      <c r="E142" s="4">
        <v>21</v>
      </c>
      <c r="F142" s="12" t="str" cm="1">
        <f t="array" ref="F142">_xlfn.IFS(E142=0, "0", E142&lt;=4, "10", E142&lt;=10, "23", E142&lt;=15, "25", E142&lt;=20, "28",E142&lt;=25, "30", E142&lt;=30, "35", E142&lt;=40, "38")</f>
        <v>30</v>
      </c>
      <c r="G142" s="16" t="str" cm="1">
        <f t="array" ref="G142">_xlfn.IFS(E142=0, "0", E142&lt;=4, "5", E142&lt;=10, "12", E142&lt;=15, "13", E142&lt;=20, "14",E142&lt;=25, "15", E142&lt;=30, "16", E142&lt;=40, "17")</f>
        <v>15</v>
      </c>
      <c r="H142" s="12">
        <f t="shared" si="2"/>
        <v>66</v>
      </c>
      <c r="N142" s="11"/>
    </row>
    <row r="143" spans="1:14">
      <c r="A143" s="8">
        <v>132</v>
      </c>
      <c r="B143" s="8" t="s">
        <v>362</v>
      </c>
      <c r="C143" s="8" t="s">
        <v>363</v>
      </c>
      <c r="D143" s="8" t="s">
        <v>364</v>
      </c>
      <c r="E143" s="4">
        <v>26</v>
      </c>
      <c r="F143" s="12" t="str" cm="1">
        <f t="array" ref="F143">_xlfn.IFS(E143=0, "0", E143&lt;=4, "10", E143&lt;=10, "23", E143&lt;=15, "25", E143&lt;=20, "28",E143&lt;=25, "30", E143&lt;=30, "35", E143&lt;=40, "38")</f>
        <v>35</v>
      </c>
      <c r="G143" s="16" t="str" cm="1">
        <f t="array" ref="G143">_xlfn.IFS(E143=0, "0", E143&lt;=4, "5", E143&lt;=10, "12", E143&lt;=15, "13", E143&lt;=20, "14",E143&lt;=25, "15", E143&lt;=30, "16", E143&lt;=40, "17")</f>
        <v>16</v>
      </c>
      <c r="H143" s="12">
        <f t="shared" si="2"/>
        <v>77</v>
      </c>
      <c r="N143" s="11"/>
    </row>
    <row r="144" spans="1:14">
      <c r="A144" s="8">
        <v>133</v>
      </c>
      <c r="B144" s="8" t="s">
        <v>365</v>
      </c>
      <c r="C144" s="8" t="s">
        <v>366</v>
      </c>
      <c r="D144" s="8" t="s">
        <v>248</v>
      </c>
      <c r="E144" s="4">
        <v>26</v>
      </c>
      <c r="F144" s="12" t="str" cm="1">
        <f t="array" ref="F144">_xlfn.IFS(E144=0, "0", E144&lt;=4, "10", E144&lt;=10, "23", E144&lt;=15, "25", E144&lt;=20, "28",E144&lt;=25, "30", E144&lt;=30, "35", E144&lt;=40, "38")</f>
        <v>35</v>
      </c>
      <c r="G144" s="16" t="str" cm="1">
        <f t="array" ref="G144">_xlfn.IFS(E144=0, "0", E144&lt;=4, "5", E144&lt;=10, "12", E144&lt;=15, "13", E144&lt;=20, "14",E144&lt;=25, "15", E144&lt;=30, "16", E144&lt;=40, "17")</f>
        <v>16</v>
      </c>
      <c r="H144" s="12">
        <f t="shared" si="2"/>
        <v>77</v>
      </c>
      <c r="N144" s="11"/>
    </row>
    <row r="145" spans="1:14">
      <c r="A145" s="8">
        <v>134</v>
      </c>
      <c r="B145" s="8" t="s">
        <v>367</v>
      </c>
      <c r="C145" s="8" t="s">
        <v>165</v>
      </c>
      <c r="D145" s="8" t="s">
        <v>53</v>
      </c>
      <c r="E145" s="4">
        <v>19</v>
      </c>
      <c r="F145" s="12" t="str" cm="1">
        <f t="array" ref="F145">_xlfn.IFS(E145=0, "0", E145&lt;=4, "10", E145&lt;=10, "23", E145&lt;=15, "25", E145&lt;=20, "28",E145&lt;=25, "30", E145&lt;=30, "35", E145&lt;=40, "38")</f>
        <v>28</v>
      </c>
      <c r="G145" s="16" t="str" cm="1">
        <f t="array" ref="G145">_xlfn.IFS(E145=0, "0", E145&lt;=4, "5", E145&lt;=10, "12", E145&lt;=15, "13", E145&lt;=20, "14",E145&lt;=25, "15", E145&lt;=30, "16", E145&lt;=40, "17")</f>
        <v>14</v>
      </c>
      <c r="H145" s="12">
        <f t="shared" si="2"/>
        <v>61</v>
      </c>
      <c r="N145" s="11"/>
    </row>
    <row r="146" spans="1:14">
      <c r="A146" s="8">
        <v>135</v>
      </c>
      <c r="B146" s="8" t="s">
        <v>368</v>
      </c>
      <c r="C146" s="8" t="s">
        <v>369</v>
      </c>
      <c r="D146" s="8" t="s">
        <v>370</v>
      </c>
      <c r="E146" s="4">
        <v>14</v>
      </c>
      <c r="F146" s="12" t="str" cm="1">
        <f t="array" ref="F146">_xlfn.IFS(E146=0, "0", E146&lt;=4, "10", E146&lt;=10, "23", E146&lt;=15, "25", E146&lt;=20, "28",E146&lt;=25, "30", E146&lt;=30, "35", E146&lt;=40, "38")</f>
        <v>25</v>
      </c>
      <c r="G146" s="16" t="str" cm="1">
        <f t="array" ref="G146">_xlfn.IFS(E146=0, "0", E146&lt;=4, "5", E146&lt;=10, "12", E146&lt;=15, "13", E146&lt;=20, "14",E146&lt;=25, "15", E146&lt;=30, "16", E146&lt;=40, "17")</f>
        <v>13</v>
      </c>
      <c r="H146" s="12">
        <f t="shared" si="2"/>
        <v>52</v>
      </c>
      <c r="N146" s="11"/>
    </row>
    <row r="147" spans="1:14">
      <c r="A147" s="8">
        <v>136</v>
      </c>
      <c r="B147" s="8" t="s">
        <v>371</v>
      </c>
      <c r="C147" s="8" t="s">
        <v>92</v>
      </c>
      <c r="D147" s="8" t="s">
        <v>372</v>
      </c>
      <c r="E147" s="4">
        <v>16</v>
      </c>
      <c r="F147" s="12" t="str" cm="1">
        <f t="array" ref="F147">_xlfn.IFS(E147=0, "0", E147&lt;=4, "10", E147&lt;=10, "23", E147&lt;=15, "25", E147&lt;=20, "28",E147&lt;=25, "30", E147&lt;=30, "35", E147&lt;=40, "38")</f>
        <v>28</v>
      </c>
      <c r="G147" s="16" t="str" cm="1">
        <f t="array" ref="G147">_xlfn.IFS(E147=0, "0", E147&lt;=4, "5", E147&lt;=10, "12", E147&lt;=15, "13", E147&lt;=20, "14",E147&lt;=25, "15", E147&lt;=30, "16", E147&lt;=40, "17")</f>
        <v>14</v>
      </c>
      <c r="H147" s="12">
        <f t="shared" si="2"/>
        <v>58</v>
      </c>
      <c r="N147" s="11"/>
    </row>
    <row r="148" spans="1:14">
      <c r="A148" s="8">
        <v>137</v>
      </c>
      <c r="B148" s="8" t="s">
        <v>373</v>
      </c>
      <c r="C148" s="8" t="s">
        <v>374</v>
      </c>
      <c r="D148" s="8" t="s">
        <v>375</v>
      </c>
      <c r="E148" s="4">
        <v>22</v>
      </c>
      <c r="F148" s="12" t="str" cm="1">
        <f t="array" ref="F148">_xlfn.IFS(E148=0, "0", E148&lt;=4, "10", E148&lt;=10, "23", E148&lt;=15, "25", E148&lt;=20, "28",E148&lt;=25, "30", E148&lt;=30, "35", E148&lt;=40, "38")</f>
        <v>30</v>
      </c>
      <c r="G148" s="16" t="str" cm="1">
        <f t="array" ref="G148">_xlfn.IFS(E148=0, "0", E148&lt;=4, "5", E148&lt;=10, "12", E148&lt;=15, "13", E148&lt;=20, "14",E148&lt;=25, "15", E148&lt;=30, "16", E148&lt;=40, "17")</f>
        <v>15</v>
      </c>
      <c r="H148" s="12">
        <f t="shared" si="2"/>
        <v>67</v>
      </c>
      <c r="N148" s="11"/>
    </row>
    <row r="149" spans="1:14">
      <c r="A149" s="8">
        <v>138</v>
      </c>
      <c r="B149" s="8" t="s">
        <v>376</v>
      </c>
      <c r="C149" s="8" t="s">
        <v>377</v>
      </c>
      <c r="D149" s="8" t="s">
        <v>378</v>
      </c>
      <c r="E149" s="4">
        <v>29</v>
      </c>
      <c r="F149" s="12" t="str" cm="1">
        <f t="array" ref="F149">_xlfn.IFS(E149=0, "0", E149&lt;=4, "10", E149&lt;=10, "23", E149&lt;=15, "25", E149&lt;=20, "28",E149&lt;=25, "30", E149&lt;=30, "35", E149&lt;=40, "38")</f>
        <v>35</v>
      </c>
      <c r="G149" s="16" t="str" cm="1">
        <f t="array" ref="G149">_xlfn.IFS(E149=0, "0", E149&lt;=4, "5", E149&lt;=10, "12", E149&lt;=15, "13", E149&lt;=20, "14",E149&lt;=25, "15", E149&lt;=30, "16", E149&lt;=40, "17")</f>
        <v>16</v>
      </c>
      <c r="H149" s="12">
        <f t="shared" si="2"/>
        <v>80</v>
      </c>
      <c r="N149" s="11"/>
    </row>
    <row r="150" spans="1:14">
      <c r="A150" s="8">
        <v>139</v>
      </c>
      <c r="B150" s="8" t="s">
        <v>379</v>
      </c>
      <c r="C150" s="8" t="s">
        <v>380</v>
      </c>
      <c r="D150" s="8" t="s">
        <v>204</v>
      </c>
      <c r="E150" s="4">
        <v>22</v>
      </c>
      <c r="F150" s="12" t="str" cm="1">
        <f t="array" ref="F150">_xlfn.IFS(E150=0, "0", E150&lt;=4, "10", E150&lt;=10, "23", E150&lt;=15, "25", E150&lt;=20, "28",E150&lt;=25, "30", E150&lt;=30, "35", E150&lt;=40, "38")</f>
        <v>30</v>
      </c>
      <c r="G150" s="16" t="str" cm="1">
        <f t="array" ref="G150">_xlfn.IFS(E150=0, "0", E150&lt;=4, "5", E150&lt;=10, "12", E150&lt;=15, "13", E150&lt;=20, "14",E150&lt;=25, "15", E150&lt;=30, "16", E150&lt;=40, "17")</f>
        <v>15</v>
      </c>
      <c r="H150" s="12">
        <f t="shared" si="2"/>
        <v>67</v>
      </c>
      <c r="N150" s="11"/>
    </row>
    <row r="151" spans="1:14">
      <c r="A151" s="8">
        <v>140</v>
      </c>
      <c r="B151" s="8" t="s">
        <v>381</v>
      </c>
      <c r="C151" s="8" t="s">
        <v>382</v>
      </c>
      <c r="D151" s="8" t="s">
        <v>383</v>
      </c>
      <c r="E151" s="4">
        <v>12</v>
      </c>
      <c r="F151" s="12" t="str" cm="1">
        <f t="array" ref="F151">_xlfn.IFS(E151=0, "0", E151&lt;=4, "10", E151&lt;=10, "23", E151&lt;=15, "25", E151&lt;=20, "28",E151&lt;=25, "30", E151&lt;=30, "35", E151&lt;=40, "38")</f>
        <v>25</v>
      </c>
      <c r="G151" s="16" t="str" cm="1">
        <f t="array" ref="G151">_xlfn.IFS(E151=0, "0", E151&lt;=4, "5", E151&lt;=10, "12", E151&lt;=15, "13", E151&lt;=20, "14",E151&lt;=25, "15", E151&lt;=30, "16", E151&lt;=40, "17")</f>
        <v>13</v>
      </c>
      <c r="H151" s="12">
        <f t="shared" si="2"/>
        <v>50</v>
      </c>
      <c r="N151" s="11"/>
    </row>
    <row r="152" spans="1:14">
      <c r="A152" s="8">
        <v>141</v>
      </c>
      <c r="B152" s="8" t="s">
        <v>384</v>
      </c>
      <c r="C152" s="8" t="s">
        <v>385</v>
      </c>
      <c r="D152" s="8" t="s">
        <v>386</v>
      </c>
      <c r="E152" s="4">
        <v>22</v>
      </c>
      <c r="F152" s="12" t="str" cm="1">
        <f t="array" ref="F152">_xlfn.IFS(E152=0, "0", E152&lt;=4, "10", E152&lt;=10, "23", E152&lt;=15, "25", E152&lt;=20, "28",E152&lt;=25, "30", E152&lt;=30, "35", E152&lt;=40, "38")</f>
        <v>30</v>
      </c>
      <c r="G152" s="16" t="str" cm="1">
        <f t="array" ref="G152">_xlfn.IFS(E152=0, "0", E152&lt;=4, "5", E152&lt;=10, "12", E152&lt;=15, "13", E152&lt;=20, "14",E152&lt;=25, "15", E152&lt;=30, "16", E152&lt;=40, "17")</f>
        <v>15</v>
      </c>
      <c r="H152" s="12">
        <f t="shared" si="2"/>
        <v>67</v>
      </c>
      <c r="N152" s="11"/>
    </row>
    <row r="153" spans="1:14">
      <c r="A153" s="8">
        <v>142</v>
      </c>
      <c r="B153" s="8" t="s">
        <v>387</v>
      </c>
      <c r="C153" s="8" t="s">
        <v>388</v>
      </c>
      <c r="D153" s="8" t="s">
        <v>294</v>
      </c>
      <c r="E153" s="4">
        <v>19</v>
      </c>
      <c r="F153" s="12" t="str" cm="1">
        <f t="array" ref="F153">_xlfn.IFS(E153=0, "0", E153&lt;=4, "10", E153&lt;=10, "23", E153&lt;=15, "25", E153&lt;=20, "28",E153&lt;=25, "30", E153&lt;=30, "35", E153&lt;=40, "38")</f>
        <v>28</v>
      </c>
      <c r="G153" s="16" t="str" cm="1">
        <f t="array" ref="G153">_xlfn.IFS(E153=0, "0", E153&lt;=4, "5", E153&lt;=10, "12", E153&lt;=15, "13", E153&lt;=20, "14",E153&lt;=25, "15", E153&lt;=30, "16", E153&lt;=40, "17")</f>
        <v>14</v>
      </c>
      <c r="H153" s="12">
        <f t="shared" si="2"/>
        <v>61</v>
      </c>
      <c r="N153" s="11"/>
    </row>
    <row r="154" spans="1:14">
      <c r="A154" s="8">
        <v>143</v>
      </c>
      <c r="B154" s="8" t="s">
        <v>389</v>
      </c>
      <c r="C154" s="8" t="s">
        <v>390</v>
      </c>
      <c r="D154" s="8" t="s">
        <v>391</v>
      </c>
      <c r="E154" s="4"/>
      <c r="F154" s="12" t="str" cm="1">
        <f t="array" ref="F154">_xlfn.IFS(E154=0, "0", E154&lt;=4, "10", E154&lt;=10, "23", E154&lt;=15, "25", E154&lt;=20, "28",E154&lt;=25, "30", E154&lt;=30, "35", E154&lt;=40, "38")</f>
        <v>0</v>
      </c>
      <c r="G154" s="16" t="str" cm="1">
        <f t="array" ref="G154">_xlfn.IFS(E154=0, "0", E154&lt;=4, "5", E154&lt;=10, "12", E154&lt;=15, "13", E154&lt;=20, "14",E154&lt;=25, "15", E154&lt;=30, "16", E154&lt;=40, "17")</f>
        <v>0</v>
      </c>
      <c r="H154" s="12">
        <f t="shared" si="2"/>
        <v>0</v>
      </c>
      <c r="N154" s="11"/>
    </row>
    <row r="155" spans="1:14">
      <c r="A155" s="8">
        <v>144</v>
      </c>
      <c r="B155" s="8" t="s">
        <v>392</v>
      </c>
      <c r="C155" s="8" t="s">
        <v>393</v>
      </c>
      <c r="D155" s="8" t="s">
        <v>278</v>
      </c>
      <c r="E155" s="4">
        <v>27</v>
      </c>
      <c r="F155" s="12" t="str" cm="1">
        <f t="array" ref="F155">_xlfn.IFS(E155=0, "0", E155&lt;=4, "10", E155&lt;=10, "23", E155&lt;=15, "25", E155&lt;=20, "28",E155&lt;=25, "30", E155&lt;=30, "35", E155&lt;=40, "38")</f>
        <v>35</v>
      </c>
      <c r="G155" s="16" t="str" cm="1">
        <f t="array" ref="G155">_xlfn.IFS(E155=0, "0", E155&lt;=4, "5", E155&lt;=10, "12", E155&lt;=15, "13", E155&lt;=20, "14",E155&lt;=25, "15", E155&lt;=30, "16", E155&lt;=40, "17")</f>
        <v>16</v>
      </c>
      <c r="H155" s="12">
        <f t="shared" si="2"/>
        <v>78</v>
      </c>
      <c r="N155" s="11"/>
    </row>
    <row r="156" spans="1:14">
      <c r="A156" s="8">
        <v>145</v>
      </c>
      <c r="B156" s="8" t="s">
        <v>394</v>
      </c>
      <c r="C156" s="8" t="s">
        <v>395</v>
      </c>
      <c r="D156" s="8" t="s">
        <v>332</v>
      </c>
      <c r="E156" s="4">
        <v>14</v>
      </c>
      <c r="F156" s="12" t="str" cm="1">
        <f t="array" ref="F156">_xlfn.IFS(E156=0, "0", E156&lt;=4, "10", E156&lt;=10, "23", E156&lt;=15, "25", E156&lt;=20, "28",E156&lt;=25, "30", E156&lt;=30, "35", E156&lt;=40, "38")</f>
        <v>25</v>
      </c>
      <c r="G156" s="16" t="str" cm="1">
        <f t="array" ref="G156">_xlfn.IFS(E156=0, "0", E156&lt;=4, "5", E156&lt;=10, "12", E156&lt;=15, "13", E156&lt;=20, "14",E156&lt;=25, "15", E156&lt;=30, "16", E156&lt;=40, "17")</f>
        <v>13</v>
      </c>
      <c r="H156" s="12">
        <f t="shared" si="2"/>
        <v>52</v>
      </c>
      <c r="N156" s="11"/>
    </row>
    <row r="157" spans="1:14">
      <c r="A157" s="8">
        <v>146</v>
      </c>
      <c r="B157" s="8" t="s">
        <v>396</v>
      </c>
      <c r="C157" s="8" t="s">
        <v>397</v>
      </c>
      <c r="D157" s="8" t="s">
        <v>398</v>
      </c>
      <c r="E157" s="4">
        <v>27</v>
      </c>
      <c r="F157" s="12" t="str" cm="1">
        <f t="array" ref="F157">_xlfn.IFS(E157=0, "0", E157&lt;=4, "10", E157&lt;=10, "23", E157&lt;=15, "25", E157&lt;=20, "28",E157&lt;=25, "30", E157&lt;=30, "35", E157&lt;=40, "38")</f>
        <v>35</v>
      </c>
      <c r="G157" s="16" t="str" cm="1">
        <f t="array" ref="G157">_xlfn.IFS(E157=0, "0", E157&lt;=4, "5", E157&lt;=10, "12", E157&lt;=15, "13", E157&lt;=20, "14",E157&lt;=25, "15", E157&lt;=30, "16", E157&lt;=40, "17")</f>
        <v>16</v>
      </c>
      <c r="H157" s="12">
        <f t="shared" si="2"/>
        <v>78</v>
      </c>
      <c r="N157" s="11"/>
    </row>
    <row r="158" spans="1:14">
      <c r="A158" s="8">
        <v>147</v>
      </c>
      <c r="B158" s="8" t="s">
        <v>399</v>
      </c>
      <c r="C158" s="8" t="s">
        <v>212</v>
      </c>
      <c r="D158" s="8" t="s">
        <v>96</v>
      </c>
      <c r="E158" s="4">
        <v>25</v>
      </c>
      <c r="F158" s="12" t="str" cm="1">
        <f t="array" ref="F158">_xlfn.IFS(E158=0, "0", E158&lt;=4, "10", E158&lt;=10, "23", E158&lt;=15, "25", E158&lt;=20, "28",E158&lt;=25, "30", E158&lt;=30, "35", E158&lt;=40, "38")</f>
        <v>30</v>
      </c>
      <c r="G158" s="16" t="str" cm="1">
        <f t="array" ref="G158">_xlfn.IFS(E158=0, "0", E158&lt;=4, "5", E158&lt;=10, "12", E158&lt;=15, "13", E158&lt;=20, "14",E158&lt;=25, "15", E158&lt;=30, "16", E158&lt;=40, "17")</f>
        <v>15</v>
      </c>
      <c r="H158" s="12">
        <f t="shared" si="2"/>
        <v>70</v>
      </c>
      <c r="N158" s="11"/>
    </row>
    <row r="159" spans="1:14">
      <c r="A159" s="8">
        <v>148</v>
      </c>
      <c r="B159" s="8" t="s">
        <v>400</v>
      </c>
      <c r="C159" s="8" t="s">
        <v>212</v>
      </c>
      <c r="D159" s="8" t="s">
        <v>102</v>
      </c>
      <c r="E159" s="4">
        <v>27</v>
      </c>
      <c r="F159" s="12" t="str" cm="1">
        <f t="array" ref="F159">_xlfn.IFS(E159=0, "0", E159&lt;=4, "10", E159&lt;=10, "23", E159&lt;=15, "25", E159&lt;=20, "28",E159&lt;=25, "30", E159&lt;=30, "35", E159&lt;=40, "38")</f>
        <v>35</v>
      </c>
      <c r="G159" s="16" t="str" cm="1">
        <f t="array" ref="G159">_xlfn.IFS(E159=0, "0", E159&lt;=4, "5", E159&lt;=10, "12", E159&lt;=15, "13", E159&lt;=20, "14",E159&lt;=25, "15", E159&lt;=30, "16", E159&lt;=40, "17")</f>
        <v>16</v>
      </c>
      <c r="H159" s="12">
        <f t="shared" si="2"/>
        <v>78</v>
      </c>
      <c r="N159" s="11"/>
    </row>
    <row r="160" spans="1:14">
      <c r="A160" s="8">
        <v>149</v>
      </c>
      <c r="B160" s="8" t="s">
        <v>401</v>
      </c>
      <c r="C160" s="8" t="s">
        <v>402</v>
      </c>
      <c r="D160" s="8" t="s">
        <v>116</v>
      </c>
      <c r="E160" s="4">
        <v>26</v>
      </c>
      <c r="F160" s="12" t="str" cm="1">
        <f t="array" ref="F160">_xlfn.IFS(E160=0, "0", E160&lt;=4, "10", E160&lt;=10, "23", E160&lt;=15, "25", E160&lt;=20, "28",E160&lt;=25, "30", E160&lt;=30, "35", E160&lt;=40, "38")</f>
        <v>35</v>
      </c>
      <c r="G160" s="16" t="str" cm="1">
        <f t="array" ref="G160">_xlfn.IFS(E160=0, "0", E160&lt;=4, "5", E160&lt;=10, "12", E160&lt;=15, "13", E160&lt;=20, "14",E160&lt;=25, "15", E160&lt;=30, "16", E160&lt;=40, "17")</f>
        <v>16</v>
      </c>
      <c r="H160" s="12">
        <f t="shared" si="2"/>
        <v>77</v>
      </c>
      <c r="N160" s="11"/>
    </row>
    <row r="161" spans="1:14">
      <c r="A161" s="8">
        <v>150</v>
      </c>
      <c r="B161" s="8" t="s">
        <v>403</v>
      </c>
      <c r="C161" s="8" t="s">
        <v>404</v>
      </c>
      <c r="D161" s="8" t="s">
        <v>405</v>
      </c>
      <c r="E161" s="4"/>
      <c r="F161" s="12" t="str" cm="1">
        <f t="array" ref="F161">_xlfn.IFS(E161=0, "0", E161&lt;=4, "10", E161&lt;=10, "23", E161&lt;=15, "25", E161&lt;=20, "28",E161&lt;=25, "30", E161&lt;=30, "35", E161&lt;=40, "38")</f>
        <v>0</v>
      </c>
      <c r="G161" s="16" t="str" cm="1">
        <f t="array" ref="G161">_xlfn.IFS(E161=0, "0", E161&lt;=4, "5", E161&lt;=10, "12", E161&lt;=15, "13", E161&lt;=20, "14",E161&lt;=25, "15", E161&lt;=30, "16", E161&lt;=40, "17")</f>
        <v>0</v>
      </c>
      <c r="H161" s="12">
        <f t="shared" si="2"/>
        <v>0</v>
      </c>
      <c r="N161" s="11"/>
    </row>
    <row r="162" spans="1:14">
      <c r="A162" s="8">
        <v>151</v>
      </c>
      <c r="B162" s="8" t="s">
        <v>406</v>
      </c>
      <c r="C162" s="8" t="s">
        <v>407</v>
      </c>
      <c r="D162" s="8" t="s">
        <v>408</v>
      </c>
      <c r="E162" s="4">
        <v>30</v>
      </c>
      <c r="F162" s="12" t="str" cm="1">
        <f t="array" ref="F162">_xlfn.IFS(E162=0, "0", E162&lt;=4, "10", E162&lt;=10, "23", E162&lt;=15, "25", E162&lt;=20, "28",E162&lt;=25, "30", E162&lt;=30, "35", E162&lt;=40, "38")</f>
        <v>35</v>
      </c>
      <c r="G162" s="16" t="str" cm="1">
        <f t="array" ref="G162">_xlfn.IFS(E162=0, "0", E162&lt;=4, "5", E162&lt;=10, "12", E162&lt;=15, "13", E162&lt;=20, "14",E162&lt;=25, "15", E162&lt;=30, "16", E162&lt;=40, "17")</f>
        <v>16</v>
      </c>
      <c r="H162" s="12">
        <f t="shared" si="2"/>
        <v>81</v>
      </c>
      <c r="N162" s="11"/>
    </row>
    <row r="163" spans="1:14">
      <c r="A163" s="8">
        <v>152</v>
      </c>
      <c r="B163" s="8" t="s">
        <v>409</v>
      </c>
      <c r="C163" s="8" t="s">
        <v>410</v>
      </c>
      <c r="D163" s="8" t="s">
        <v>24</v>
      </c>
      <c r="E163" s="4">
        <v>21</v>
      </c>
      <c r="F163" s="12" t="str" cm="1">
        <f t="array" ref="F163">_xlfn.IFS(E163=0, "0", E163&lt;=4, "10", E163&lt;=10, "23", E163&lt;=15, "25", E163&lt;=20, "28",E163&lt;=25, "30", E163&lt;=30, "35", E163&lt;=40, "38")</f>
        <v>30</v>
      </c>
      <c r="G163" s="16" t="str" cm="1">
        <f t="array" ref="G163">_xlfn.IFS(E163=0, "0", E163&lt;=4, "5", E163&lt;=10, "12", E163&lt;=15, "13", E163&lt;=20, "14",E163&lt;=25, "15", E163&lt;=30, "16", E163&lt;=40, "17")</f>
        <v>15</v>
      </c>
      <c r="H163" s="12">
        <f t="shared" si="2"/>
        <v>66</v>
      </c>
      <c r="N163" s="11"/>
    </row>
    <row r="164" spans="1:14">
      <c r="A164" s="8">
        <v>153</v>
      </c>
      <c r="B164" s="8" t="s">
        <v>411</v>
      </c>
      <c r="C164" s="8" t="s">
        <v>23</v>
      </c>
      <c r="D164" s="8" t="s">
        <v>412</v>
      </c>
      <c r="E164" s="4">
        <v>30</v>
      </c>
      <c r="F164" s="12" t="str" cm="1">
        <f t="array" ref="F164">_xlfn.IFS(E164=0, "0", E164&lt;=4, "10", E164&lt;=10, "23", E164&lt;=15, "25", E164&lt;=20, "28",E164&lt;=25, "30", E164&lt;=30, "35", E164&lt;=40, "38")</f>
        <v>35</v>
      </c>
      <c r="G164" s="16" t="str" cm="1">
        <f t="array" ref="G164">_xlfn.IFS(E164=0, "0", E164&lt;=4, "5", E164&lt;=10, "12", E164&lt;=15, "13", E164&lt;=20, "14",E164&lt;=25, "15", E164&lt;=30, "16", E164&lt;=40, "17")</f>
        <v>16</v>
      </c>
      <c r="H164" s="12">
        <f t="shared" si="2"/>
        <v>81</v>
      </c>
      <c r="N164" s="11"/>
    </row>
    <row r="165" spans="1:14">
      <c r="A165" s="8">
        <v>154</v>
      </c>
      <c r="B165" s="8" t="s">
        <v>413</v>
      </c>
      <c r="C165" s="8" t="s">
        <v>414</v>
      </c>
      <c r="D165" s="8" t="s">
        <v>415</v>
      </c>
      <c r="E165" s="4"/>
      <c r="F165" s="12" t="str" cm="1">
        <f t="array" ref="F165">_xlfn.IFS(E165=0, "0", E165&lt;=4, "10", E165&lt;=10, "23", E165&lt;=15, "25", E165&lt;=20, "28",E165&lt;=25, "30", E165&lt;=30, "35", E165&lt;=40, "38")</f>
        <v>0</v>
      </c>
      <c r="G165" s="16" t="str" cm="1">
        <f t="array" ref="G165">_xlfn.IFS(E165=0, "0", E165&lt;=4, "5", E165&lt;=10, "12", E165&lt;=15, "13", E165&lt;=20, "14",E165&lt;=25, "15", E165&lt;=30, "16", E165&lt;=40, "17")</f>
        <v>0</v>
      </c>
      <c r="H165" s="12">
        <f t="shared" si="2"/>
        <v>0</v>
      </c>
      <c r="N165" s="11"/>
    </row>
    <row r="166" spans="1:14">
      <c r="A166" s="8">
        <v>155</v>
      </c>
      <c r="B166" s="8" t="s">
        <v>416</v>
      </c>
      <c r="C166" s="8" t="s">
        <v>417</v>
      </c>
      <c r="D166" s="8" t="s">
        <v>418</v>
      </c>
      <c r="E166" s="4">
        <v>23</v>
      </c>
      <c r="F166" s="12" t="str" cm="1">
        <f t="array" ref="F166">_xlfn.IFS(E166=0, "0", E166&lt;=4, "10", E166&lt;=10, "23", E166&lt;=15, "25", E166&lt;=20, "28",E166&lt;=25, "30", E166&lt;=30, "35", E166&lt;=40, "38")</f>
        <v>30</v>
      </c>
      <c r="G166" s="16" t="str" cm="1">
        <f t="array" ref="G166">_xlfn.IFS(E166=0, "0", E166&lt;=4, "5", E166&lt;=10, "12", E166&lt;=15, "13", E166&lt;=20, "14",E166&lt;=25, "15", E166&lt;=30, "16", E166&lt;=40, "17")</f>
        <v>15</v>
      </c>
      <c r="H166" s="12">
        <f t="shared" si="2"/>
        <v>68</v>
      </c>
      <c r="N166" s="11"/>
    </row>
    <row r="167" spans="1:14">
      <c r="A167" s="8">
        <v>156</v>
      </c>
      <c r="B167" s="8" t="s">
        <v>419</v>
      </c>
      <c r="C167" s="8" t="s">
        <v>165</v>
      </c>
      <c r="D167" s="8" t="s">
        <v>420</v>
      </c>
      <c r="E167" s="4"/>
      <c r="F167" s="12" t="str" cm="1">
        <f t="array" ref="F167">_xlfn.IFS(E167=0, "0", E167&lt;=4, "10", E167&lt;=10, "23", E167&lt;=15, "25", E167&lt;=20, "28",E167&lt;=25, "30", E167&lt;=30, "35", E167&lt;=40, "38")</f>
        <v>0</v>
      </c>
      <c r="G167" s="16" t="str" cm="1">
        <f t="array" ref="G167">_xlfn.IFS(E167=0, "0", E167&lt;=4, "5", E167&lt;=10, "12", E167&lt;=15, "13", E167&lt;=20, "14",E167&lt;=25, "15", E167&lt;=30, "16", E167&lt;=40, "17")</f>
        <v>0</v>
      </c>
      <c r="H167" s="12">
        <f t="shared" si="2"/>
        <v>0</v>
      </c>
      <c r="N167" s="11"/>
    </row>
    <row r="168" spans="1:14">
      <c r="A168" s="8">
        <v>157</v>
      </c>
      <c r="B168" s="8" t="s">
        <v>421</v>
      </c>
      <c r="C168" s="8" t="s">
        <v>112</v>
      </c>
      <c r="D168" s="8" t="s">
        <v>300</v>
      </c>
      <c r="E168" s="4">
        <v>25</v>
      </c>
      <c r="F168" s="12" t="str" cm="1">
        <f t="array" ref="F168">_xlfn.IFS(E168=0, "0", E168&lt;=4, "10", E168&lt;=10, "23", E168&lt;=15, "25", E168&lt;=20, "28",E168&lt;=25, "30", E168&lt;=30, "35", E168&lt;=40, "38")</f>
        <v>30</v>
      </c>
      <c r="G168" s="16" t="str" cm="1">
        <f t="array" ref="G168">_xlfn.IFS(E168=0, "0", E168&lt;=4, "5", E168&lt;=10, "12", E168&lt;=15, "13", E168&lt;=20, "14",E168&lt;=25, "15", E168&lt;=30, "16", E168&lt;=40, "17")</f>
        <v>15</v>
      </c>
      <c r="H168" s="12">
        <f t="shared" si="2"/>
        <v>70</v>
      </c>
      <c r="N168" s="11"/>
    </row>
    <row r="169" spans="1:14">
      <c r="A169" s="8">
        <v>158</v>
      </c>
      <c r="B169" s="8" t="s">
        <v>422</v>
      </c>
      <c r="C169" s="8" t="s">
        <v>423</v>
      </c>
      <c r="D169" s="8" t="s">
        <v>87</v>
      </c>
      <c r="E169" s="4">
        <v>14</v>
      </c>
      <c r="F169" s="12" t="str" cm="1">
        <f t="array" ref="F169">_xlfn.IFS(E169=0, "0", E169&lt;=4, "10", E169&lt;=10, "23", E169&lt;=15, "25", E169&lt;=20, "28",E169&lt;=25, "30", E169&lt;=30, "35", E169&lt;=40, "38")</f>
        <v>25</v>
      </c>
      <c r="G169" s="16" t="str" cm="1">
        <f t="array" ref="G169">_xlfn.IFS(E169=0, "0", E169&lt;=4, "5", E169&lt;=10, "12", E169&lt;=15, "13", E169&lt;=20, "14",E169&lt;=25, "15", E169&lt;=30, "16", E169&lt;=40, "17")</f>
        <v>13</v>
      </c>
      <c r="H169" s="12">
        <f t="shared" si="2"/>
        <v>52</v>
      </c>
      <c r="N169" s="11"/>
    </row>
    <row r="170" spans="1:14">
      <c r="A170" s="8">
        <v>159</v>
      </c>
      <c r="B170" s="8" t="s">
        <v>424</v>
      </c>
      <c r="C170" s="8" t="s">
        <v>50</v>
      </c>
      <c r="D170" s="8" t="s">
        <v>45</v>
      </c>
      <c r="E170" s="4"/>
      <c r="F170" s="12" t="str" cm="1">
        <f t="array" ref="F170">_xlfn.IFS(E170=0, "0", E170&lt;=4, "10", E170&lt;=10, "23", E170&lt;=15, "25", E170&lt;=20, "28",E170&lt;=25, "30", E170&lt;=30, "35", E170&lt;=40, "38")</f>
        <v>0</v>
      </c>
      <c r="G170" s="16" t="str" cm="1">
        <f t="array" ref="G170">_xlfn.IFS(E170=0, "0", E170&lt;=4, "5", E170&lt;=10, "12", E170&lt;=15, "13", E170&lt;=20, "14",E170&lt;=25, "15", E170&lt;=30, "16", E170&lt;=40, "17")</f>
        <v>0</v>
      </c>
      <c r="H170" s="12">
        <f t="shared" si="2"/>
        <v>0</v>
      </c>
      <c r="N170" s="11"/>
    </row>
    <row r="171" spans="1:14">
      <c r="A171" s="8">
        <v>160</v>
      </c>
      <c r="B171" s="8" t="s">
        <v>425</v>
      </c>
      <c r="C171" s="8" t="s">
        <v>426</v>
      </c>
      <c r="D171" s="8" t="s">
        <v>96</v>
      </c>
      <c r="E171" s="4">
        <v>19</v>
      </c>
      <c r="F171" s="12" t="str" cm="1">
        <f t="array" ref="F171">_xlfn.IFS(E171=0, "0", E171&lt;=4, "10", E171&lt;=10, "23", E171&lt;=15, "25", E171&lt;=20, "28",E171&lt;=25, "30", E171&lt;=30, "35", E171&lt;=40, "38")</f>
        <v>28</v>
      </c>
      <c r="G171" s="16" t="str" cm="1">
        <f t="array" ref="G171">_xlfn.IFS(E171=0, "0", E171&lt;=4, "5", E171&lt;=10, "12", E171&lt;=15, "13", E171&lt;=20, "14",E171&lt;=25, "15", E171&lt;=30, "16", E171&lt;=40, "17")</f>
        <v>14</v>
      </c>
      <c r="H171" s="12">
        <f t="shared" si="2"/>
        <v>61</v>
      </c>
      <c r="N171" s="11"/>
    </row>
    <row r="172" spans="1:14">
      <c r="A172" s="8">
        <v>161</v>
      </c>
      <c r="B172" s="8" t="s">
        <v>427</v>
      </c>
      <c r="C172" s="8" t="s">
        <v>385</v>
      </c>
      <c r="D172" s="8" t="s">
        <v>329</v>
      </c>
      <c r="E172" s="4">
        <v>25</v>
      </c>
      <c r="F172" s="12" t="str" cm="1">
        <f t="array" ref="F172">_xlfn.IFS(E172=0, "0", E172&lt;=4, "10", E172&lt;=10, "23", E172&lt;=15, "25", E172&lt;=20, "28",E172&lt;=25, "30", E172&lt;=30, "35", E172&lt;=40, "38")</f>
        <v>30</v>
      </c>
      <c r="G172" s="16" t="str" cm="1">
        <f t="array" ref="G172">_xlfn.IFS(E172=0, "0", E172&lt;=4, "5", E172&lt;=10, "12", E172&lt;=15, "13", E172&lt;=20, "14",E172&lt;=25, "15", E172&lt;=30, "16", E172&lt;=40, "17")</f>
        <v>15</v>
      </c>
      <c r="H172" s="12">
        <f t="shared" si="2"/>
        <v>70</v>
      </c>
      <c r="N172" s="11"/>
    </row>
    <row r="173" spans="1:14">
      <c r="A173" s="8">
        <v>162</v>
      </c>
      <c r="B173" s="8" t="s">
        <v>428</v>
      </c>
      <c r="C173" s="8" t="s">
        <v>429</v>
      </c>
      <c r="D173" s="8" t="s">
        <v>430</v>
      </c>
      <c r="E173" s="4"/>
      <c r="F173" s="12" t="str" cm="1">
        <f t="array" ref="F173">_xlfn.IFS(E173=0, "0", E173&lt;=4, "10", E173&lt;=10, "23", E173&lt;=15, "25", E173&lt;=20, "28",E173&lt;=25, "30", E173&lt;=30, "35", E173&lt;=40, "38")</f>
        <v>0</v>
      </c>
      <c r="G173" s="16" t="str" cm="1">
        <f t="array" ref="G173">_xlfn.IFS(E173=0, "0", E173&lt;=4, "5", E173&lt;=10, "12", E173&lt;=15, "13", E173&lt;=20, "14",E173&lt;=25, "15", E173&lt;=30, "16", E173&lt;=40, "17")</f>
        <v>0</v>
      </c>
      <c r="H173" s="12">
        <f t="shared" si="2"/>
        <v>0</v>
      </c>
      <c r="N173" s="11"/>
    </row>
    <row r="174" spans="1:14">
      <c r="A174" s="8">
        <v>163</v>
      </c>
      <c r="B174" s="8" t="s">
        <v>431</v>
      </c>
      <c r="C174" s="8" t="s">
        <v>432</v>
      </c>
      <c r="D174" s="8" t="s">
        <v>59</v>
      </c>
      <c r="E174" s="4"/>
      <c r="F174" s="12" t="str" cm="1">
        <f t="array" ref="F174">_xlfn.IFS(E174=0, "0", E174&lt;=4, "10", E174&lt;=10, "23", E174&lt;=15, "25", E174&lt;=20, "28",E174&lt;=25, "30", E174&lt;=30, "35", E174&lt;=40, "38")</f>
        <v>0</v>
      </c>
      <c r="G174" s="16" t="str" cm="1">
        <f t="array" ref="G174">_xlfn.IFS(E174=0, "0", E174&lt;=4, "5", E174&lt;=10, "12", E174&lt;=15, "13", E174&lt;=20, "14",E174&lt;=25, "15", E174&lt;=30, "16", E174&lt;=40, "17")</f>
        <v>0</v>
      </c>
      <c r="H174" s="12">
        <f t="shared" si="2"/>
        <v>0</v>
      </c>
      <c r="N174" s="11"/>
    </row>
    <row r="175" spans="1:14">
      <c r="A175" s="8">
        <v>164</v>
      </c>
      <c r="B175" s="8" t="s">
        <v>433</v>
      </c>
      <c r="C175" s="8" t="s">
        <v>434</v>
      </c>
      <c r="D175" s="8" t="s">
        <v>435</v>
      </c>
      <c r="E175" s="4">
        <v>16</v>
      </c>
      <c r="F175" s="12" t="str" cm="1">
        <f t="array" ref="F175">_xlfn.IFS(E175=0, "0", E175&lt;=4, "10", E175&lt;=10, "23", E175&lt;=15, "25", E175&lt;=20, "28",E175&lt;=25, "30", E175&lt;=30, "35", E175&lt;=40, "38")</f>
        <v>28</v>
      </c>
      <c r="G175" s="16" t="str" cm="1">
        <f t="array" ref="G175">_xlfn.IFS(E175=0, "0", E175&lt;=4, "5", E175&lt;=10, "12", E175&lt;=15, "13", E175&lt;=20, "14",E175&lt;=25, "15", E175&lt;=30, "16", E175&lt;=40, "17")</f>
        <v>14</v>
      </c>
      <c r="H175" s="12">
        <f t="shared" si="2"/>
        <v>58</v>
      </c>
      <c r="N175" s="11"/>
    </row>
    <row r="176" spans="1:14">
      <c r="A176" s="8">
        <v>165</v>
      </c>
      <c r="B176" s="8" t="s">
        <v>436</v>
      </c>
      <c r="C176" s="8" t="s">
        <v>437</v>
      </c>
      <c r="D176" s="8" t="s">
        <v>273</v>
      </c>
      <c r="E176" s="4">
        <v>27</v>
      </c>
      <c r="F176" s="12" t="str" cm="1">
        <f t="array" ref="F176">_xlfn.IFS(E176=0, "0", E176&lt;=4, "10", E176&lt;=10, "23", E176&lt;=15, "25", E176&lt;=20, "28",E176&lt;=25, "30", E176&lt;=30, "35", E176&lt;=40, "38")</f>
        <v>35</v>
      </c>
      <c r="G176" s="16" t="str" cm="1">
        <f t="array" ref="G176">_xlfn.IFS(E176=0, "0", E176&lt;=4, "5", E176&lt;=10, "12", E176&lt;=15, "13", E176&lt;=20, "14",E176&lt;=25, "15", E176&lt;=30, "16", E176&lt;=40, "17")</f>
        <v>16</v>
      </c>
      <c r="H176" s="12">
        <f t="shared" si="2"/>
        <v>78</v>
      </c>
      <c r="N176" s="11"/>
    </row>
    <row r="177" spans="1:14">
      <c r="A177" s="8">
        <v>166</v>
      </c>
      <c r="B177" s="8" t="s">
        <v>438</v>
      </c>
      <c r="C177" s="8" t="s">
        <v>439</v>
      </c>
      <c r="D177" s="8" t="s">
        <v>440</v>
      </c>
      <c r="E177" s="4">
        <v>20</v>
      </c>
      <c r="F177" s="12" t="str" cm="1">
        <f t="array" ref="F177">_xlfn.IFS(E177=0, "0", E177&lt;=4, "10", E177&lt;=10, "23", E177&lt;=15, "25", E177&lt;=20, "28",E177&lt;=25, "30", E177&lt;=30, "35", E177&lt;=40, "38")</f>
        <v>28</v>
      </c>
      <c r="G177" s="16" t="str" cm="1">
        <f t="array" ref="G177">_xlfn.IFS(E177=0, "0", E177&lt;=4, "5", E177&lt;=10, "12", E177&lt;=15, "13", E177&lt;=20, "14",E177&lt;=25, "15", E177&lt;=30, "16", E177&lt;=40, "17")</f>
        <v>14</v>
      </c>
      <c r="H177" s="12">
        <f t="shared" si="2"/>
        <v>62</v>
      </c>
      <c r="N177" s="11"/>
    </row>
    <row r="178" spans="1:14">
      <c r="A178" s="8">
        <v>167</v>
      </c>
      <c r="B178" s="8" t="s">
        <v>441</v>
      </c>
      <c r="C178" s="8" t="s">
        <v>442</v>
      </c>
      <c r="D178" s="8" t="s">
        <v>30</v>
      </c>
      <c r="E178" s="4">
        <v>27</v>
      </c>
      <c r="F178" s="12" t="str" cm="1">
        <f t="array" ref="F178">_xlfn.IFS(E178=0, "0", E178&lt;=4, "10", E178&lt;=10, "23", E178&lt;=15, "25", E178&lt;=20, "28",E178&lt;=25, "30", E178&lt;=30, "35", E178&lt;=40, "38")</f>
        <v>35</v>
      </c>
      <c r="G178" s="16" t="str" cm="1">
        <f t="array" ref="G178">_xlfn.IFS(E178=0, "0", E178&lt;=4, "5", E178&lt;=10, "12", E178&lt;=15, "13", E178&lt;=20, "14",E178&lt;=25, "15", E178&lt;=30, "16", E178&lt;=40, "17")</f>
        <v>16</v>
      </c>
      <c r="H178" s="12">
        <f t="shared" si="2"/>
        <v>78</v>
      </c>
      <c r="N178" s="11"/>
    </row>
    <row r="179" spans="1:14">
      <c r="A179" s="8">
        <v>168</v>
      </c>
      <c r="B179" s="8" t="s">
        <v>443</v>
      </c>
      <c r="C179" s="8" t="s">
        <v>444</v>
      </c>
      <c r="D179" s="8" t="s">
        <v>87</v>
      </c>
      <c r="E179" s="4">
        <v>27</v>
      </c>
      <c r="F179" s="12" t="str" cm="1">
        <f t="array" ref="F179">_xlfn.IFS(E179=0, "0", E179&lt;=4, "10", E179&lt;=10, "23", E179&lt;=15, "25", E179&lt;=20, "28",E179&lt;=25, "30", E179&lt;=30, "35", E179&lt;=40, "38")</f>
        <v>35</v>
      </c>
      <c r="G179" s="16" t="str" cm="1">
        <f t="array" ref="G179">_xlfn.IFS(E179=0, "0", E179&lt;=4, "5", E179&lt;=10, "12", E179&lt;=15, "13", E179&lt;=20, "14",E179&lt;=25, "15", E179&lt;=30, "16", E179&lt;=40, "17")</f>
        <v>16</v>
      </c>
      <c r="H179" s="12">
        <f t="shared" si="2"/>
        <v>78</v>
      </c>
      <c r="N179" s="11"/>
    </row>
    <row r="180" spans="1:14">
      <c r="A180" s="8">
        <v>169</v>
      </c>
      <c r="B180" s="8" t="s">
        <v>445</v>
      </c>
      <c r="C180" s="8" t="s">
        <v>133</v>
      </c>
      <c r="D180" s="8" t="s">
        <v>116</v>
      </c>
      <c r="E180" s="4"/>
      <c r="F180" s="12" t="str" cm="1">
        <f t="array" ref="F180">_xlfn.IFS(E180=0, "0", E180&lt;=4, "10", E180&lt;=10, "23", E180&lt;=15, "25", E180&lt;=20, "28",E180&lt;=25, "30", E180&lt;=30, "35", E180&lt;=40, "38")</f>
        <v>0</v>
      </c>
      <c r="G180" s="16" t="str" cm="1">
        <f t="array" ref="G180">_xlfn.IFS(E180=0, "0", E180&lt;=4, "5", E180&lt;=10, "12", E180&lt;=15, "13", E180&lt;=20, "14",E180&lt;=25, "15", E180&lt;=30, "16", E180&lt;=40, "17")</f>
        <v>0</v>
      </c>
      <c r="H180" s="12">
        <f t="shared" si="2"/>
        <v>0</v>
      </c>
      <c r="N180" s="11"/>
    </row>
    <row r="181" spans="1:14">
      <c r="A181" s="8">
        <v>170</v>
      </c>
      <c r="B181" s="8" t="s">
        <v>446</v>
      </c>
      <c r="C181" s="8" t="s">
        <v>299</v>
      </c>
      <c r="D181" s="8" t="s">
        <v>219</v>
      </c>
      <c r="E181" s="4">
        <v>24</v>
      </c>
      <c r="F181" s="12" t="str" cm="1">
        <f t="array" ref="F181">_xlfn.IFS(E181=0, "0", E181&lt;=4, "10", E181&lt;=10, "23", E181&lt;=15, "25", E181&lt;=20, "28",E181&lt;=25, "30", E181&lt;=30, "35", E181&lt;=40, "38")</f>
        <v>30</v>
      </c>
      <c r="G181" s="16">
        <v>16</v>
      </c>
      <c r="H181" s="12">
        <f t="shared" si="2"/>
        <v>70</v>
      </c>
      <c r="N181" s="11"/>
    </row>
    <row r="182" spans="1:14">
      <c r="A182" s="8">
        <v>171</v>
      </c>
      <c r="B182" s="8" t="s">
        <v>447</v>
      </c>
      <c r="C182" s="8" t="s">
        <v>448</v>
      </c>
      <c r="D182" s="8" t="s">
        <v>449</v>
      </c>
      <c r="E182" s="4">
        <v>30</v>
      </c>
      <c r="F182" s="12" t="str" cm="1">
        <f t="array" ref="F182">_xlfn.IFS(E182=0, "0", E182&lt;=4, "10", E182&lt;=10, "23", E182&lt;=15, "25", E182&lt;=20, "28",E182&lt;=25, "30", E182&lt;=30, "35", E182&lt;=40, "38")</f>
        <v>35</v>
      </c>
      <c r="G182" s="16" t="str" cm="1">
        <f t="array" ref="G182">_xlfn.IFS(E182=0, "0", E182&lt;=4, "5", E182&lt;=10, "12", E182&lt;=15, "13", E182&lt;=20, "14",E182&lt;=25, "15", E182&lt;=30, "16", E182&lt;=40, "17")</f>
        <v>16</v>
      </c>
      <c r="H182" s="12">
        <f t="shared" si="2"/>
        <v>81</v>
      </c>
      <c r="N182" s="11"/>
    </row>
    <row r="183" spans="1:14">
      <c r="A183" s="8">
        <v>172</v>
      </c>
      <c r="B183" s="8" t="s">
        <v>450</v>
      </c>
      <c r="C183" s="8" t="s">
        <v>451</v>
      </c>
      <c r="D183" s="8" t="s">
        <v>452</v>
      </c>
      <c r="E183" s="4">
        <v>3</v>
      </c>
      <c r="F183" s="12" t="str" cm="1">
        <f t="array" ref="F183">_xlfn.IFS(E183=0, "0", E183&lt;=4, "10", E183&lt;=10, "23", E183&lt;=15, "25", E183&lt;=20, "28",E183&lt;=25, "30", E183&lt;=30, "35", E183&lt;=40, "38")</f>
        <v>10</v>
      </c>
      <c r="G183" s="16" t="str" cm="1">
        <f t="array" ref="G183">_xlfn.IFS(E183=0, "0", E183&lt;=4, "5", E183&lt;=10, "12", E183&lt;=15, "13", E183&lt;=20, "14",E183&lt;=25, "15", E183&lt;=30, "16", E183&lt;=40, "17")</f>
        <v>5</v>
      </c>
      <c r="H183" s="12">
        <f t="shared" si="2"/>
        <v>18</v>
      </c>
      <c r="N183" s="11"/>
    </row>
    <row r="184" spans="1:14">
      <c r="A184" s="8">
        <v>173</v>
      </c>
      <c r="B184" s="8" t="s">
        <v>453</v>
      </c>
      <c r="C184" s="8" t="s">
        <v>454</v>
      </c>
      <c r="D184" s="8" t="s">
        <v>59</v>
      </c>
      <c r="E184" s="4">
        <v>22</v>
      </c>
      <c r="F184" s="12" t="str" cm="1">
        <f t="array" ref="F184">_xlfn.IFS(E184=0, "0", E184&lt;=4, "10", E184&lt;=10, "23", E184&lt;=15, "25", E184&lt;=20, "28",E184&lt;=25, "30", E184&lt;=30, "35", E184&lt;=40, "38")</f>
        <v>30</v>
      </c>
      <c r="G184" s="16" t="str" cm="1">
        <f t="array" ref="G184">_xlfn.IFS(E184=0, "0", E184&lt;=4, "5", E184&lt;=10, "12", E184&lt;=15, "13", E184&lt;=20, "14",E184&lt;=25, "15", E184&lt;=30, "16", E184&lt;=40, "17")</f>
        <v>15</v>
      </c>
      <c r="H184" s="12">
        <f t="shared" si="2"/>
        <v>67</v>
      </c>
      <c r="N184" s="11"/>
    </row>
    <row r="185" spans="1:14">
      <c r="A185" s="8">
        <v>174</v>
      </c>
      <c r="B185" s="8" t="s">
        <v>455</v>
      </c>
      <c r="C185" s="8" t="s">
        <v>456</v>
      </c>
      <c r="D185" s="8" t="s">
        <v>457</v>
      </c>
      <c r="E185" s="4">
        <v>20</v>
      </c>
      <c r="F185" s="12" t="str" cm="1">
        <f t="array" ref="F185">_xlfn.IFS(E185=0, "0", E185&lt;=4, "10", E185&lt;=10, "23", E185&lt;=15, "25", E185&lt;=20, "28",E185&lt;=25, "30", E185&lt;=30, "35", E185&lt;=40, "38")</f>
        <v>28</v>
      </c>
      <c r="G185" s="16" t="str" cm="1">
        <f t="array" ref="G185">_xlfn.IFS(E185=0, "0", E185&lt;=4, "5", E185&lt;=10, "12", E185&lt;=15, "13", E185&lt;=20, "14",E185&lt;=25, "15", E185&lt;=30, "16", E185&lt;=40, "17")</f>
        <v>14</v>
      </c>
      <c r="H185" s="12">
        <f t="shared" si="2"/>
        <v>62</v>
      </c>
      <c r="N185" s="11"/>
    </row>
    <row r="186" spans="1:14">
      <c r="A186" s="8">
        <v>175</v>
      </c>
      <c r="B186" s="8" t="s">
        <v>458</v>
      </c>
      <c r="C186" s="8" t="s">
        <v>152</v>
      </c>
      <c r="D186" s="8" t="s">
        <v>39</v>
      </c>
      <c r="E186" s="4">
        <v>28</v>
      </c>
      <c r="F186" s="12" t="str" cm="1">
        <f t="array" ref="F186">_xlfn.IFS(E186=0, "0", E186&lt;=4, "10", E186&lt;=10, "23", E186&lt;=15, "25", E186&lt;=20, "28",E186&lt;=25, "30", E186&lt;=30, "35", E186&lt;=40, "38")</f>
        <v>35</v>
      </c>
      <c r="G186" s="16" t="str" cm="1">
        <f t="array" ref="G186">_xlfn.IFS(E186=0, "0", E186&lt;=4, "5", E186&lt;=10, "12", E186&lt;=15, "13", E186&lt;=20, "14",E186&lt;=25, "15", E186&lt;=30, "16", E186&lt;=40, "17")</f>
        <v>16</v>
      </c>
      <c r="H186" s="12">
        <f t="shared" si="2"/>
        <v>79</v>
      </c>
      <c r="N186" s="11"/>
    </row>
    <row r="187" spans="1:14">
      <c r="A187" s="8">
        <v>176</v>
      </c>
      <c r="B187" s="8" t="s">
        <v>459</v>
      </c>
      <c r="C187" s="8" t="s">
        <v>460</v>
      </c>
      <c r="D187" s="8" t="s">
        <v>237</v>
      </c>
      <c r="E187" s="4"/>
      <c r="F187" s="12" t="str" cm="1">
        <f t="array" ref="F187">_xlfn.IFS(E187=0, "0", E187&lt;=4, "10", E187&lt;=10, "23", E187&lt;=15, "25", E187&lt;=20, "28",E187&lt;=25, "30", E187&lt;=30, "35", E187&lt;=40, "38")</f>
        <v>0</v>
      </c>
      <c r="G187" s="16" t="str" cm="1">
        <f t="array" ref="G187">_xlfn.IFS(E187=0, "0", E187&lt;=4, "5", E187&lt;=10, "12", E187&lt;=15, "13", E187&lt;=20, "14",E187&lt;=25, "15", E187&lt;=30, "16", E187&lt;=40, "17")</f>
        <v>0</v>
      </c>
      <c r="H187" s="12">
        <f t="shared" si="2"/>
        <v>0</v>
      </c>
      <c r="N187" s="11"/>
    </row>
    <row r="188" spans="1:14">
      <c r="A188" s="8">
        <v>177</v>
      </c>
      <c r="B188" s="8" t="s">
        <v>461</v>
      </c>
      <c r="C188" s="8" t="s">
        <v>462</v>
      </c>
      <c r="D188" s="8" t="s">
        <v>463</v>
      </c>
      <c r="E188" s="4">
        <v>27</v>
      </c>
      <c r="F188" s="12" t="str" cm="1">
        <f t="array" ref="F188">_xlfn.IFS(E188=0, "0", E188&lt;=4, "10", E188&lt;=10, "23", E188&lt;=15, "25", E188&lt;=20, "28",E188&lt;=25, "30", E188&lt;=30, "35", E188&lt;=40, "38")</f>
        <v>35</v>
      </c>
      <c r="G188" s="16" t="str" cm="1">
        <f t="array" ref="G188">_xlfn.IFS(E188=0, "0", E188&lt;=4, "5", E188&lt;=10, "12", E188&lt;=15, "13", E188&lt;=20, "14",E188&lt;=25, "15", E188&lt;=30, "16", E188&lt;=40, "17")</f>
        <v>16</v>
      </c>
      <c r="H188" s="12">
        <f t="shared" si="2"/>
        <v>78</v>
      </c>
      <c r="N188" s="11"/>
    </row>
    <row r="189" spans="1:14">
      <c r="A189" s="8">
        <v>178</v>
      </c>
      <c r="B189" s="8" t="s">
        <v>464</v>
      </c>
      <c r="C189" s="8" t="s">
        <v>465</v>
      </c>
      <c r="D189" s="8" t="s">
        <v>466</v>
      </c>
      <c r="E189" s="4">
        <v>24</v>
      </c>
      <c r="F189" s="12" t="str" cm="1">
        <f t="array" ref="F189">_xlfn.IFS(E189=0, "0", E189&lt;=4, "10", E189&lt;=10, "23", E189&lt;=15, "25", E189&lt;=20, "28",E189&lt;=25, "30", E189&lt;=30, "35", E189&lt;=40, "38")</f>
        <v>30</v>
      </c>
      <c r="G189" s="16">
        <v>16</v>
      </c>
      <c r="H189" s="12">
        <f t="shared" si="2"/>
        <v>70</v>
      </c>
      <c r="N189" s="11"/>
    </row>
    <row r="190" spans="1:14">
      <c r="A190" s="8">
        <v>179</v>
      </c>
      <c r="B190" s="8" t="s">
        <v>467</v>
      </c>
      <c r="C190" s="8" t="s">
        <v>468</v>
      </c>
      <c r="D190" s="8" t="s">
        <v>258</v>
      </c>
      <c r="E190" s="4">
        <v>23</v>
      </c>
      <c r="F190" s="12" t="str" cm="1">
        <f t="array" ref="F190">_xlfn.IFS(E190=0, "0", E190&lt;=4, "10", E190&lt;=10, "23", E190&lt;=15, "25", E190&lt;=20, "28",E190&lt;=25, "30", E190&lt;=30, "35", E190&lt;=40, "38")</f>
        <v>30</v>
      </c>
      <c r="G190" s="16" t="str" cm="1">
        <f t="array" ref="G190">_xlfn.IFS(E190=0, "0", E190&lt;=4, "5", E190&lt;=10, "12", E190&lt;=15, "13", E190&lt;=20, "14",E190&lt;=25, "15", E190&lt;=30, "16", E190&lt;=40, "17")</f>
        <v>15</v>
      </c>
      <c r="H190" s="12">
        <f t="shared" si="2"/>
        <v>68</v>
      </c>
      <c r="N190" s="11"/>
    </row>
    <row r="191" spans="1:14">
      <c r="A191" s="8">
        <v>180</v>
      </c>
      <c r="B191" s="8" t="s">
        <v>469</v>
      </c>
      <c r="C191" s="8" t="s">
        <v>470</v>
      </c>
      <c r="D191" s="8" t="s">
        <v>42</v>
      </c>
      <c r="E191" s="4"/>
      <c r="F191" s="12" t="str" cm="1">
        <f t="array" ref="F191">_xlfn.IFS(E191=0, "0", E191&lt;=4, "10", E191&lt;=10, "23", E191&lt;=15, "25", E191&lt;=20, "28",E191&lt;=25, "30", E191&lt;=30, "35", E191&lt;=40, "38")</f>
        <v>0</v>
      </c>
      <c r="G191" s="16" t="str" cm="1">
        <f t="array" ref="G191">_xlfn.IFS(E191=0, "0", E191&lt;=4, "5", E191&lt;=10, "12", E191&lt;=15, "13", E191&lt;=20, "14",E191&lt;=25, "15", E191&lt;=30, "16", E191&lt;=40, "17")</f>
        <v>0</v>
      </c>
      <c r="H191" s="12">
        <f t="shared" si="2"/>
        <v>0</v>
      </c>
      <c r="N191" s="11"/>
    </row>
    <row r="192" spans="1:14">
      <c r="A192" s="8">
        <v>181</v>
      </c>
      <c r="B192" s="8" t="s">
        <v>471</v>
      </c>
      <c r="C192" s="8" t="s">
        <v>472</v>
      </c>
      <c r="D192" s="8" t="s">
        <v>53</v>
      </c>
      <c r="E192" s="4">
        <v>13</v>
      </c>
      <c r="F192" s="12" t="str" cm="1">
        <f t="array" ref="F192">_xlfn.IFS(E192=0, "0", E192&lt;=4, "10", E192&lt;=10, "23", E192&lt;=15, "25", E192&lt;=20, "28",E192&lt;=25, "30", E192&lt;=30, "35", E192&lt;=40, "38")</f>
        <v>25</v>
      </c>
      <c r="G192" s="16" t="str" cm="1">
        <f t="array" ref="G192">_xlfn.IFS(E192=0, "0", E192&lt;=4, "5", E192&lt;=10, "12", E192&lt;=15, "13", E192&lt;=20, "14",E192&lt;=25, "15", E192&lt;=30, "16", E192&lt;=40, "17")</f>
        <v>13</v>
      </c>
      <c r="H192" s="12">
        <f t="shared" si="2"/>
        <v>51</v>
      </c>
      <c r="N192" s="11"/>
    </row>
    <row r="193" spans="1:14">
      <c r="A193" s="8">
        <v>182</v>
      </c>
      <c r="B193" s="8" t="s">
        <v>473</v>
      </c>
      <c r="C193" s="8" t="s">
        <v>474</v>
      </c>
      <c r="D193" s="8" t="s">
        <v>475</v>
      </c>
      <c r="E193" s="4">
        <v>17</v>
      </c>
      <c r="F193" s="12" t="str" cm="1">
        <f t="array" ref="F193">_xlfn.IFS(E193=0, "0", E193&lt;=4, "10", E193&lt;=10, "23", E193&lt;=15, "25", E193&lt;=20, "28",E193&lt;=25, "30", E193&lt;=30, "35", E193&lt;=40, "38")</f>
        <v>28</v>
      </c>
      <c r="G193" s="16">
        <v>15</v>
      </c>
      <c r="H193" s="12">
        <f t="shared" si="2"/>
        <v>60</v>
      </c>
      <c r="N193" s="11"/>
    </row>
    <row r="194" spans="1:14">
      <c r="A194" s="8">
        <v>183</v>
      </c>
      <c r="B194" s="8" t="s">
        <v>476</v>
      </c>
      <c r="C194" s="8" t="s">
        <v>477</v>
      </c>
      <c r="D194" s="8" t="s">
        <v>478</v>
      </c>
      <c r="E194" s="4">
        <v>11</v>
      </c>
      <c r="F194" s="12" t="str" cm="1">
        <f t="array" ref="F194">_xlfn.IFS(E194=0, "0", E194&lt;=4, "10", E194&lt;=10, "23", E194&lt;=15, "25", E194&lt;=20, "28",E194&lt;=25, "30", E194&lt;=30, "35", E194&lt;=40, "38")</f>
        <v>25</v>
      </c>
      <c r="G194" s="16">
        <v>14</v>
      </c>
      <c r="H194" s="12">
        <f t="shared" si="2"/>
        <v>50</v>
      </c>
      <c r="N194" s="11"/>
    </row>
    <row r="195" spans="1:14">
      <c r="A195" s="8">
        <v>184</v>
      </c>
      <c r="B195" s="8" t="s">
        <v>479</v>
      </c>
      <c r="C195" s="8" t="s">
        <v>480</v>
      </c>
      <c r="D195" s="8" t="s">
        <v>18</v>
      </c>
      <c r="E195" s="4"/>
      <c r="F195" s="12" t="str" cm="1">
        <f t="array" ref="F195">_xlfn.IFS(E195=0, "0", E195&lt;=4, "10", E195&lt;=10, "23", E195&lt;=15, "25", E195&lt;=20, "28",E195&lt;=25, "30", E195&lt;=30, "35", E195&lt;=40, "38")</f>
        <v>0</v>
      </c>
      <c r="G195" s="16" t="str" cm="1">
        <f t="array" ref="G195">_xlfn.IFS(E195=0, "0", E195&lt;=4, "5", E195&lt;=10, "12", E195&lt;=15, "13", E195&lt;=20, "14",E195&lt;=25, "15", E195&lt;=30, "16", E195&lt;=40, "17")</f>
        <v>0</v>
      </c>
      <c r="H195" s="12">
        <f t="shared" si="2"/>
        <v>0</v>
      </c>
      <c r="N195" s="11"/>
    </row>
    <row r="196" spans="1:14">
      <c r="A196" s="8">
        <v>185</v>
      </c>
      <c r="B196" s="8" t="s">
        <v>481</v>
      </c>
      <c r="C196" s="8" t="s">
        <v>482</v>
      </c>
      <c r="D196" s="8" t="s">
        <v>483</v>
      </c>
      <c r="E196" s="4">
        <v>12</v>
      </c>
      <c r="F196" s="12" t="str" cm="1">
        <f t="array" ref="F196">_xlfn.IFS(E196=0, "0", E196&lt;=4, "10", E196&lt;=10, "23", E196&lt;=15, "25", E196&lt;=20, "28",E196&lt;=25, "30", E196&lt;=30, "35", E196&lt;=40, "38")</f>
        <v>25</v>
      </c>
      <c r="G196" s="16" t="str" cm="1">
        <f t="array" ref="G196">_xlfn.IFS(E196=0, "0", E196&lt;=4, "5", E196&lt;=10, "12", E196&lt;=15, "13", E196&lt;=20, "14",E196&lt;=25, "15", E196&lt;=30, "16", E196&lt;=40, "17")</f>
        <v>13</v>
      </c>
      <c r="H196" s="12">
        <f t="shared" si="2"/>
        <v>50</v>
      </c>
      <c r="N196" s="11"/>
    </row>
    <row r="197" spans="1:14">
      <c r="A197" s="8">
        <v>186</v>
      </c>
      <c r="B197" s="8" t="s">
        <v>484</v>
      </c>
      <c r="C197" s="8" t="s">
        <v>485</v>
      </c>
      <c r="D197" s="8" t="s">
        <v>160</v>
      </c>
      <c r="E197" s="4"/>
      <c r="F197" s="12" t="str" cm="1">
        <f t="array" ref="F197">_xlfn.IFS(E197=0, "0", E197&lt;=4, "10", E197&lt;=10, "23", E197&lt;=15, "25", E197&lt;=20, "28",E197&lt;=25, "30", E197&lt;=30, "35", E197&lt;=40, "38")</f>
        <v>0</v>
      </c>
      <c r="G197" s="16" t="str" cm="1">
        <f t="array" ref="G197">_xlfn.IFS(E197=0, "0", E197&lt;=4, "5", E197&lt;=10, "12", E197&lt;=15, "13", E197&lt;=20, "14",E197&lt;=25, "15", E197&lt;=30, "16", E197&lt;=40, "17")</f>
        <v>0</v>
      </c>
      <c r="H197" s="12">
        <f t="shared" si="2"/>
        <v>0</v>
      </c>
      <c r="N197" s="11"/>
    </row>
    <row r="198" spans="1:14">
      <c r="A198" s="8">
        <v>187</v>
      </c>
      <c r="B198" s="8" t="s">
        <v>486</v>
      </c>
      <c r="C198" s="8" t="s">
        <v>487</v>
      </c>
      <c r="D198" s="8" t="s">
        <v>42</v>
      </c>
      <c r="E198" s="4">
        <v>23</v>
      </c>
      <c r="F198" s="12" t="str" cm="1">
        <f t="array" ref="F198">_xlfn.IFS(E198=0, "0", E198&lt;=4, "10", E198&lt;=10, "23", E198&lt;=15, "25", E198&lt;=20, "28",E198&lt;=25, "30", E198&lt;=30, "35", E198&lt;=40, "38")</f>
        <v>30</v>
      </c>
      <c r="G198" s="16" t="str" cm="1">
        <f t="array" ref="G198">_xlfn.IFS(E198=0, "0", E198&lt;=4, "5", E198&lt;=10, "12", E198&lt;=15, "13", E198&lt;=20, "14",E198&lt;=25, "15", E198&lt;=30, "16", E198&lt;=40, "17")</f>
        <v>15</v>
      </c>
      <c r="H198" s="12">
        <f t="shared" si="2"/>
        <v>68</v>
      </c>
      <c r="N198" s="11"/>
    </row>
    <row r="199" spans="1:14">
      <c r="A199" s="8">
        <v>188</v>
      </c>
      <c r="B199" s="8" t="s">
        <v>488</v>
      </c>
      <c r="C199" s="8" t="s">
        <v>50</v>
      </c>
      <c r="D199" s="8" t="s">
        <v>489</v>
      </c>
      <c r="E199" s="4"/>
      <c r="F199" s="12" t="str" cm="1">
        <f t="array" ref="F199">_xlfn.IFS(E199=0, "0", E199&lt;=4, "10", E199&lt;=10, "23", E199&lt;=15, "25", E199&lt;=20, "28",E199&lt;=25, "30", E199&lt;=30, "35", E199&lt;=40, "38")</f>
        <v>0</v>
      </c>
      <c r="G199" s="16" t="str" cm="1">
        <f t="array" ref="G199">_xlfn.IFS(E199=0, "0", E199&lt;=4, "5", E199&lt;=10, "12", E199&lt;=15, "13", E199&lt;=20, "14",E199&lt;=25, "15", E199&lt;=30, "16", E199&lt;=40, "17")</f>
        <v>0</v>
      </c>
      <c r="H199" s="12">
        <f t="shared" si="2"/>
        <v>0</v>
      </c>
      <c r="N199" s="11"/>
    </row>
    <row r="200" spans="1:14">
      <c r="A200" s="8">
        <v>189</v>
      </c>
      <c r="B200" s="8" t="s">
        <v>490</v>
      </c>
      <c r="C200" s="8" t="s">
        <v>165</v>
      </c>
      <c r="D200" s="8" t="s">
        <v>193</v>
      </c>
      <c r="E200" s="4">
        <v>28</v>
      </c>
      <c r="F200" s="12" t="str" cm="1">
        <f t="array" ref="F200">_xlfn.IFS(E200=0, "0", E200&lt;=4, "10", E200&lt;=10, "23", E200&lt;=15, "25", E200&lt;=20, "28",E200&lt;=25, "30", E200&lt;=30, "35", E200&lt;=40, "38")</f>
        <v>35</v>
      </c>
      <c r="G200" s="16" t="str" cm="1">
        <f t="array" ref="G200">_xlfn.IFS(E200=0, "0", E200&lt;=4, "5", E200&lt;=10, "12", E200&lt;=15, "13", E200&lt;=20, "14",E200&lt;=25, "15", E200&lt;=30, "16", E200&lt;=40, "17")</f>
        <v>16</v>
      </c>
      <c r="H200" s="12">
        <f t="shared" si="2"/>
        <v>79</v>
      </c>
      <c r="N200" s="11"/>
    </row>
    <row r="201" spans="1:14">
      <c r="A201" s="8">
        <v>190</v>
      </c>
      <c r="B201" s="8" t="s">
        <v>491</v>
      </c>
      <c r="C201" s="8" t="s">
        <v>35</v>
      </c>
      <c r="D201" s="8" t="s">
        <v>102</v>
      </c>
      <c r="E201" s="4">
        <v>16</v>
      </c>
      <c r="F201" s="12" t="str" cm="1">
        <f t="array" ref="F201">_xlfn.IFS(E201=0, "0", E201&lt;=4, "10", E201&lt;=10, "23", E201&lt;=15, "25", E201&lt;=20, "28",E201&lt;=25, "30", E201&lt;=30, "35", E201&lt;=40, "38")</f>
        <v>28</v>
      </c>
      <c r="G201" s="16" t="str" cm="1">
        <f t="array" ref="G201">_xlfn.IFS(E201=0, "0", E201&lt;=4, "5", E201&lt;=10, "12", E201&lt;=15, "13", E201&lt;=20, "14",E201&lt;=25, "15", E201&lt;=30, "16", E201&lt;=40, "17")</f>
        <v>14</v>
      </c>
      <c r="H201" s="12">
        <f t="shared" si="2"/>
        <v>58</v>
      </c>
      <c r="N201" s="11"/>
    </row>
    <row r="202" spans="1:14">
      <c r="A202" s="8">
        <v>191</v>
      </c>
      <c r="B202" s="8" t="s">
        <v>492</v>
      </c>
      <c r="C202" s="8" t="s">
        <v>493</v>
      </c>
      <c r="D202" s="8" t="s">
        <v>122</v>
      </c>
      <c r="E202" s="4">
        <v>11</v>
      </c>
      <c r="F202" s="12" t="str" cm="1">
        <f t="array" ref="F202">_xlfn.IFS(E202=0, "0", E202&lt;=4, "10", E202&lt;=10, "23", E202&lt;=15, "25", E202&lt;=20, "28",E202&lt;=25, "30", E202&lt;=30, "35", E202&lt;=40, "38")</f>
        <v>25</v>
      </c>
      <c r="G202" s="16">
        <v>14</v>
      </c>
      <c r="H202" s="12">
        <f t="shared" si="2"/>
        <v>50</v>
      </c>
      <c r="N202" s="11"/>
    </row>
    <row r="203" spans="1:14">
      <c r="A203" s="8">
        <v>192</v>
      </c>
      <c r="B203" s="8" t="s">
        <v>494</v>
      </c>
      <c r="C203" s="8" t="s">
        <v>495</v>
      </c>
      <c r="D203" s="8" t="s">
        <v>412</v>
      </c>
      <c r="E203" s="4">
        <v>23</v>
      </c>
      <c r="F203" s="12" t="str" cm="1">
        <f t="array" ref="F203">_xlfn.IFS(E203=0, "0", E203&lt;=4, "10", E203&lt;=10, "23", E203&lt;=15, "25", E203&lt;=20, "28",E203&lt;=25, "30", E203&lt;=30, "35", E203&lt;=40, "38")</f>
        <v>30</v>
      </c>
      <c r="G203" s="16" t="str" cm="1">
        <f t="array" ref="G203">_xlfn.IFS(E203=0, "0", E203&lt;=4, "5", E203&lt;=10, "12", E203&lt;=15, "13", E203&lt;=20, "14",E203&lt;=25, "15", E203&lt;=30, "16", E203&lt;=40, "17")</f>
        <v>15</v>
      </c>
      <c r="H203" s="12">
        <f t="shared" si="2"/>
        <v>68</v>
      </c>
      <c r="N203" s="11"/>
    </row>
    <row r="204" spans="1:14">
      <c r="A204" s="8">
        <v>193</v>
      </c>
      <c r="B204" s="8" t="s">
        <v>496</v>
      </c>
      <c r="C204" s="8" t="s">
        <v>497</v>
      </c>
      <c r="D204" s="8" t="s">
        <v>498</v>
      </c>
      <c r="E204" s="4">
        <v>18</v>
      </c>
      <c r="F204" s="12" t="str" cm="1">
        <f t="array" ref="F204">_xlfn.IFS(E204=0, "0", E204&lt;=4, "10", E204&lt;=10, "23", E204&lt;=15, "25", E204&lt;=20, "28",E204&lt;=25, "30", E204&lt;=30, "35", E204&lt;=40, "38")</f>
        <v>28</v>
      </c>
      <c r="G204" s="16" t="str" cm="1">
        <f t="array" ref="G204">_xlfn.IFS(E204=0, "0", E204&lt;=4, "5", E204&lt;=10, "12", E204&lt;=15, "13", E204&lt;=20, "14",E204&lt;=25, "15", E204&lt;=30, "16", E204&lt;=40, "17")</f>
        <v>14</v>
      </c>
      <c r="H204" s="12">
        <f t="shared" si="2"/>
        <v>60</v>
      </c>
      <c r="N204" s="11"/>
    </row>
    <row r="205" spans="1:14">
      <c r="A205" s="8">
        <v>194</v>
      </c>
      <c r="B205" s="8" t="s">
        <v>500</v>
      </c>
      <c r="C205" s="8" t="s">
        <v>501</v>
      </c>
      <c r="D205" s="8" t="s">
        <v>502</v>
      </c>
      <c r="E205" s="4">
        <v>14</v>
      </c>
      <c r="F205" s="12" t="str" cm="1">
        <f t="array" ref="F205">_xlfn.IFS(E205=0, "0", E205&lt;=4, "10", E205&lt;=10, "23", E205&lt;=15, "25", E205&lt;=20, "28",E205&lt;=25, "30", E205&lt;=30, "35", E205&lt;=40, "38")</f>
        <v>25</v>
      </c>
      <c r="G205" s="16" t="str" cm="1">
        <f t="array" ref="G205">_xlfn.IFS(E205=0, "0", E205&lt;=4, "5", E205&lt;=10, "12", E205&lt;=15, "13", E205&lt;=20, "14",E205&lt;=25, "15", E205&lt;=30, "16", E205&lt;=40, "17")</f>
        <v>13</v>
      </c>
      <c r="H205" s="12">
        <f t="shared" ref="H205" si="3">E205+F205+G205</f>
        <v>52</v>
      </c>
      <c r="N205" s="11"/>
    </row>
    <row r="206" spans="1:14">
      <c r="A206" s="5"/>
      <c r="B206" s="5"/>
      <c r="C206" s="5"/>
      <c r="D206" s="5"/>
      <c r="E206" s="5"/>
      <c r="F206" s="5"/>
      <c r="G206" s="5"/>
      <c r="H206" s="14"/>
    </row>
    <row r="207" spans="1:14">
      <c r="A207" s="17"/>
      <c r="B207" s="17"/>
      <c r="C207" s="17"/>
      <c r="D207" s="17"/>
      <c r="E207" s="17"/>
      <c r="F207" s="17"/>
      <c r="G207" s="17"/>
      <c r="H207" s="17"/>
    </row>
    <row r="208" spans="1:14">
      <c r="A208" s="17" t="s">
        <v>508</v>
      </c>
      <c r="B208" s="17"/>
      <c r="C208" s="17"/>
      <c r="D208" s="17"/>
      <c r="E208" s="17"/>
      <c r="F208" s="17"/>
      <c r="G208" s="17"/>
      <c r="H208" s="17"/>
    </row>
    <row r="209" spans="1:8">
      <c r="A209" s="17"/>
      <c r="B209" s="17"/>
      <c r="C209" s="17"/>
      <c r="D209" s="17"/>
      <c r="E209" s="17"/>
      <c r="F209" s="17"/>
      <c r="G209" s="17"/>
      <c r="H209" s="17"/>
    </row>
    <row r="210" spans="1:8">
      <c r="A210" s="17" t="s">
        <v>499</v>
      </c>
      <c r="B210" s="17"/>
      <c r="C210" s="17"/>
      <c r="D210" s="17"/>
      <c r="E210" s="17"/>
      <c r="F210" s="17"/>
      <c r="G210" s="17"/>
      <c r="H210" s="17"/>
    </row>
  </sheetData>
  <mergeCells count="12">
    <mergeCell ref="A208:H208"/>
    <mergeCell ref="A209:H209"/>
    <mergeCell ref="A210:H210"/>
    <mergeCell ref="A10:A11"/>
    <mergeCell ref="B10:B11"/>
    <mergeCell ref="C10:C11"/>
    <mergeCell ref="D10:D11"/>
    <mergeCell ref="A207:H207"/>
    <mergeCell ref="E10:E11"/>
    <mergeCell ref="F10:F11"/>
    <mergeCell ref="G10:G11"/>
    <mergeCell ref="H10:H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workbookViewId="0">
      <selection activeCell="G15" sqref="G15"/>
    </sheetView>
  </sheetViews>
  <sheetFormatPr defaultRowHeight="14.4"/>
  <cols>
    <col min="1" max="1" width="5.5546875" customWidth="1"/>
    <col min="2" max="2" width="12.88671875" customWidth="1"/>
    <col min="3" max="3" width="13.77734375" customWidth="1"/>
    <col min="4" max="4" width="7.33203125" customWidth="1"/>
    <col min="5" max="5" width="7" customWidth="1"/>
    <col min="6" max="6" width="6.44140625" customWidth="1"/>
    <col min="7" max="7" width="5.88671875" customWidth="1"/>
    <col min="8" max="8" width="9.6640625" customWidth="1"/>
  </cols>
  <sheetData>
    <row r="1" spans="1:8" ht="16.2">
      <c r="A1" s="2"/>
      <c r="B1" s="2"/>
      <c r="C1" s="3" t="s">
        <v>0</v>
      </c>
      <c r="D1" s="3"/>
      <c r="E1" s="3"/>
      <c r="F1" s="3"/>
      <c r="G1" s="3"/>
      <c r="H1" s="2"/>
    </row>
    <row r="2" spans="1:8" ht="16.2">
      <c r="A2" s="2"/>
      <c r="B2" s="2"/>
      <c r="C2" s="3" t="s">
        <v>1</v>
      </c>
      <c r="D2" s="3"/>
      <c r="E2" s="3"/>
      <c r="F2" s="3"/>
      <c r="G2" s="3"/>
      <c r="H2" s="2"/>
    </row>
    <row r="3" spans="1:8" ht="16.2">
      <c r="A3" s="2"/>
      <c r="B3" s="2"/>
      <c r="C3" s="3" t="s">
        <v>2</v>
      </c>
      <c r="D3" s="3"/>
      <c r="E3" s="3"/>
      <c r="F3" s="3"/>
      <c r="G3" s="3"/>
      <c r="H3" s="2"/>
    </row>
    <row r="4" spans="1:8" ht="16.2">
      <c r="A4" s="2"/>
      <c r="B4" s="2"/>
      <c r="C4" s="3" t="s">
        <v>506</v>
      </c>
      <c r="D4" s="3"/>
      <c r="E4" s="3"/>
      <c r="F4" s="3"/>
      <c r="G4" s="3"/>
      <c r="H4" s="2"/>
    </row>
    <row r="5" spans="1:8" ht="16.2">
      <c r="A5" s="2"/>
      <c r="B5" s="2"/>
      <c r="C5" s="3" t="s">
        <v>4</v>
      </c>
      <c r="D5" s="3"/>
      <c r="E5" s="3"/>
      <c r="F5" s="3"/>
      <c r="G5" s="3"/>
      <c r="H5" s="2"/>
    </row>
    <row r="6" spans="1:8">
      <c r="A6" s="2" t="s">
        <v>507</v>
      </c>
      <c r="B6" s="2"/>
      <c r="C6" s="2"/>
      <c r="D6" s="2"/>
      <c r="E6" s="2"/>
      <c r="F6" s="2"/>
      <c r="G6" s="2"/>
      <c r="H6" s="2"/>
    </row>
    <row r="7" spans="1:8">
      <c r="A7" s="2" t="s">
        <v>510</v>
      </c>
      <c r="B7" s="2"/>
      <c r="C7" s="2"/>
      <c r="D7" s="2"/>
      <c r="E7" s="2"/>
      <c r="F7" s="2"/>
      <c r="G7" s="2"/>
      <c r="H7" s="2"/>
    </row>
    <row r="8" spans="1:8">
      <c r="A8" s="2" t="s">
        <v>504</v>
      </c>
      <c r="B8" s="2"/>
      <c r="C8" s="2"/>
      <c r="D8" s="2"/>
      <c r="E8" s="2"/>
      <c r="F8" s="1"/>
      <c r="G8" s="1"/>
      <c r="H8" s="2"/>
    </row>
    <row r="9" spans="1:8">
      <c r="A9" s="2" t="s">
        <v>505</v>
      </c>
      <c r="B9" s="2"/>
      <c r="C9" s="2"/>
      <c r="D9" s="2"/>
      <c r="E9" s="2"/>
      <c r="F9" s="2"/>
      <c r="G9" s="2"/>
      <c r="H9" s="2"/>
    </row>
    <row r="10" spans="1:8">
      <c r="A10" s="18" t="s">
        <v>5</v>
      </c>
      <c r="B10" s="18" t="s">
        <v>6</v>
      </c>
      <c r="C10" s="18" t="s">
        <v>7</v>
      </c>
      <c r="D10" s="18" t="s">
        <v>8</v>
      </c>
      <c r="E10" s="6" t="s">
        <v>10</v>
      </c>
      <c r="F10" s="6" t="s">
        <v>509</v>
      </c>
      <c r="G10" s="6" t="s">
        <v>9</v>
      </c>
      <c r="H10" s="6" t="s">
        <v>11</v>
      </c>
    </row>
    <row r="11" spans="1:8" ht="15" thickBot="1">
      <c r="A11" s="19"/>
      <c r="B11" s="19"/>
      <c r="C11" s="19"/>
      <c r="D11" s="20"/>
      <c r="E11" s="7">
        <v>0.4</v>
      </c>
      <c r="F11" s="7">
        <v>0.4</v>
      </c>
      <c r="G11" s="7">
        <v>0.2</v>
      </c>
      <c r="H11" s="6" t="s">
        <v>12</v>
      </c>
    </row>
    <row r="12" spans="1:8" ht="15" thickTop="1">
      <c r="A12" s="8">
        <v>1</v>
      </c>
      <c r="B12" s="8" t="s">
        <v>512</v>
      </c>
      <c r="C12" s="8" t="s">
        <v>513</v>
      </c>
      <c r="D12" s="9" t="s">
        <v>514</v>
      </c>
      <c r="E12" s="4">
        <v>5</v>
      </c>
      <c r="F12" s="10">
        <v>30</v>
      </c>
      <c r="G12" s="4">
        <v>15</v>
      </c>
      <c r="H12" s="10">
        <f>E12+F12+G12</f>
        <v>50</v>
      </c>
    </row>
    <row r="13" spans="1:8">
      <c r="A13" s="8">
        <v>2</v>
      </c>
      <c r="B13" s="8" t="s">
        <v>515</v>
      </c>
      <c r="C13" s="8" t="s">
        <v>162</v>
      </c>
      <c r="D13" s="8" t="s">
        <v>516</v>
      </c>
      <c r="E13" s="4">
        <v>18</v>
      </c>
      <c r="F13" s="10">
        <v>30</v>
      </c>
      <c r="G13" s="4">
        <v>17</v>
      </c>
      <c r="H13" s="10">
        <f t="shared" ref="H13:H14" si="0">E13+F13+G13</f>
        <v>65</v>
      </c>
    </row>
    <row r="14" spans="1:8">
      <c r="A14" s="8">
        <v>3</v>
      </c>
      <c r="B14" s="8" t="s">
        <v>517</v>
      </c>
      <c r="C14" s="8" t="s">
        <v>518</v>
      </c>
      <c r="D14" s="8" t="s">
        <v>519</v>
      </c>
      <c r="E14" s="4">
        <v>16</v>
      </c>
      <c r="F14" s="10">
        <v>30</v>
      </c>
      <c r="G14" s="4">
        <v>17</v>
      </c>
      <c r="H14" s="10">
        <f t="shared" si="0"/>
        <v>63</v>
      </c>
    </row>
    <row r="15" spans="1:8">
      <c r="A15" s="8">
        <v>4</v>
      </c>
      <c r="B15" s="8"/>
      <c r="C15" s="8"/>
      <c r="D15" s="8"/>
      <c r="E15" s="4"/>
      <c r="F15" s="10"/>
      <c r="G15" s="4"/>
      <c r="H15" s="10"/>
    </row>
    <row r="16" spans="1:8">
      <c r="A16" s="8">
        <v>5</v>
      </c>
      <c r="B16" s="8"/>
      <c r="C16" s="8"/>
      <c r="D16" s="8"/>
      <c r="E16" s="4"/>
      <c r="F16" s="10"/>
      <c r="G16" s="4"/>
      <c r="H16" s="10"/>
    </row>
    <row r="17" spans="1:8">
      <c r="A17" s="8">
        <v>6</v>
      </c>
      <c r="B17" s="8"/>
      <c r="C17" s="8"/>
      <c r="D17" s="8"/>
      <c r="E17" s="4"/>
      <c r="F17" s="10"/>
      <c r="G17" s="4"/>
      <c r="H17" s="10"/>
    </row>
    <row r="19" spans="1:8">
      <c r="A19" s="17" t="s">
        <v>511</v>
      </c>
      <c r="B19" s="17"/>
      <c r="C19" s="17"/>
      <c r="D19" s="17"/>
      <c r="E19" s="17"/>
      <c r="F19" s="17"/>
      <c r="G19" s="17"/>
      <c r="H19" s="17"/>
    </row>
    <row r="20" spans="1:8">
      <c r="A20" s="17"/>
      <c r="B20" s="17"/>
      <c r="C20" s="17"/>
      <c r="D20" s="17"/>
      <c r="E20" s="17"/>
      <c r="F20" s="17"/>
      <c r="G20" s="17"/>
      <c r="H20" s="17"/>
    </row>
    <row r="21" spans="1:8">
      <c r="A21" s="17" t="s">
        <v>499</v>
      </c>
      <c r="B21" s="17"/>
      <c r="C21" s="17"/>
      <c r="D21" s="17"/>
      <c r="E21" s="17"/>
      <c r="F21" s="17"/>
      <c r="G21" s="17"/>
      <c r="H21" s="17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17"/>
      <c r="B25" s="17"/>
      <c r="C25" s="17"/>
      <c r="D25" s="17"/>
      <c r="E25" s="17"/>
      <c r="F25" s="17"/>
      <c r="G25" s="17"/>
      <c r="H25" s="17"/>
    </row>
  </sheetData>
  <mergeCells count="8">
    <mergeCell ref="A25:H25"/>
    <mergeCell ref="A19:H19"/>
    <mergeCell ref="A20:H20"/>
    <mergeCell ref="A21:H21"/>
    <mergeCell ref="A10:A11"/>
    <mergeCell ref="B10:B11"/>
    <mergeCell ref="C10:C11"/>
    <mergeCell ref="D10:D1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G7" sqref="G7"/>
    </sheetView>
  </sheetViews>
  <sheetFormatPr defaultRowHeight="14.4"/>
  <cols>
    <col min="1" max="1" width="7.21875" customWidth="1"/>
    <col min="2" max="2" width="13" customWidth="1"/>
    <col min="3" max="3" width="16.5546875" customWidth="1"/>
    <col min="5" max="5" width="6.109375" bestFit="1" customWidth="1"/>
    <col min="6" max="6" width="5.88671875" bestFit="1" customWidth="1"/>
    <col min="7" max="7" width="5.109375" bestFit="1" customWidth="1"/>
    <col min="8" max="8" width="6.21875" bestFit="1" customWidth="1"/>
  </cols>
  <sheetData>
    <row r="1" spans="1:8" ht="16.2">
      <c r="A1" s="2"/>
      <c r="B1" s="2"/>
      <c r="C1" s="3" t="s">
        <v>0</v>
      </c>
      <c r="D1" s="3"/>
      <c r="E1" s="3"/>
      <c r="F1" s="3"/>
      <c r="G1" s="3"/>
      <c r="H1" s="2"/>
    </row>
    <row r="2" spans="1:8" ht="16.2">
      <c r="A2" s="2"/>
      <c r="B2" s="2"/>
      <c r="C2" s="3" t="s">
        <v>1</v>
      </c>
      <c r="D2" s="3"/>
      <c r="E2" s="3"/>
      <c r="F2" s="3"/>
      <c r="G2" s="3"/>
      <c r="H2" s="2"/>
    </row>
    <row r="3" spans="1:8" ht="16.2">
      <c r="A3" s="2"/>
      <c r="B3" s="2"/>
      <c r="C3" s="3" t="s">
        <v>2</v>
      </c>
      <c r="D3" s="3"/>
      <c r="E3" s="3"/>
      <c r="F3" s="3"/>
      <c r="G3" s="3"/>
      <c r="H3" s="2"/>
    </row>
    <row r="4" spans="1:8" ht="16.2">
      <c r="A4" s="2"/>
      <c r="B4" s="2"/>
      <c r="C4" s="3" t="s">
        <v>3</v>
      </c>
      <c r="D4" s="3"/>
      <c r="E4" s="3"/>
      <c r="F4" s="3"/>
      <c r="G4" s="3"/>
      <c r="H4" s="2"/>
    </row>
    <row r="5" spans="1:8" ht="16.2">
      <c r="A5" s="2"/>
      <c r="B5" s="2"/>
      <c r="C5" s="3" t="s">
        <v>4</v>
      </c>
      <c r="D5" s="3"/>
      <c r="E5" s="3"/>
      <c r="F5" s="3"/>
      <c r="G5" s="3"/>
      <c r="H5" s="2"/>
    </row>
    <row r="6" spans="1:8">
      <c r="A6" s="2" t="s">
        <v>507</v>
      </c>
      <c r="B6" s="2"/>
      <c r="C6" s="2"/>
      <c r="D6" s="2"/>
      <c r="E6" s="2"/>
      <c r="F6" s="2"/>
      <c r="G6" s="2"/>
      <c r="H6" s="2"/>
    </row>
    <row r="7" spans="1:8">
      <c r="A7" s="2" t="s">
        <v>510</v>
      </c>
      <c r="B7" s="2"/>
      <c r="C7" s="2"/>
      <c r="D7" s="2"/>
      <c r="E7" s="2"/>
      <c r="F7" s="2"/>
      <c r="G7" s="2"/>
      <c r="H7" s="2"/>
    </row>
    <row r="8" spans="1:8">
      <c r="A8" s="2" t="s">
        <v>504</v>
      </c>
      <c r="B8" s="2"/>
      <c r="C8" s="2"/>
      <c r="D8" s="2"/>
      <c r="E8" s="2"/>
      <c r="F8" s="1"/>
      <c r="G8" s="1"/>
      <c r="H8" s="2"/>
    </row>
    <row r="9" spans="1:8">
      <c r="A9" s="2" t="s">
        <v>505</v>
      </c>
      <c r="B9" s="2"/>
      <c r="C9" s="2"/>
      <c r="D9" s="2"/>
      <c r="E9" s="2"/>
      <c r="F9" s="2"/>
      <c r="G9" s="2"/>
      <c r="H9" s="2"/>
    </row>
    <row r="10" spans="1:8">
      <c r="A10" s="18" t="s">
        <v>5</v>
      </c>
      <c r="B10" s="18" t="s">
        <v>6</v>
      </c>
      <c r="C10" s="18" t="s">
        <v>7</v>
      </c>
      <c r="D10" s="18" t="s">
        <v>8</v>
      </c>
      <c r="E10" s="6" t="s">
        <v>10</v>
      </c>
      <c r="F10" s="6" t="s">
        <v>509</v>
      </c>
      <c r="G10" s="6" t="s">
        <v>9</v>
      </c>
      <c r="H10" s="6" t="s">
        <v>11</v>
      </c>
    </row>
    <row r="11" spans="1:8" ht="15" thickBot="1">
      <c r="A11" s="19"/>
      <c r="B11" s="19"/>
      <c r="C11" s="19"/>
      <c r="D11" s="20"/>
      <c r="E11" s="7">
        <v>0.4</v>
      </c>
      <c r="F11" s="7">
        <v>0.4</v>
      </c>
      <c r="G11" s="7">
        <v>0.2</v>
      </c>
      <c r="H11" s="6" t="s">
        <v>12</v>
      </c>
    </row>
    <row r="12" spans="1:8" ht="15" thickTop="1">
      <c r="A12" s="8">
        <v>1</v>
      </c>
      <c r="B12" s="8" t="s">
        <v>503</v>
      </c>
      <c r="C12" s="8" t="s">
        <v>520</v>
      </c>
      <c r="D12" s="9" t="s">
        <v>521</v>
      </c>
      <c r="E12" s="4">
        <v>6</v>
      </c>
      <c r="F12" s="4">
        <v>20</v>
      </c>
      <c r="G12" s="4">
        <v>15</v>
      </c>
      <c r="H12" s="4">
        <f>E12+F12+G12</f>
        <v>41</v>
      </c>
    </row>
    <row r="13" spans="1:8">
      <c r="A13" s="8"/>
      <c r="B13" s="8"/>
      <c r="C13" s="8"/>
      <c r="D13" s="8"/>
      <c r="E13" s="4"/>
      <c r="F13" s="4"/>
      <c r="G13" s="4"/>
      <c r="H13" s="4"/>
    </row>
    <row r="14" spans="1:8">
      <c r="A14" s="8"/>
      <c r="B14" s="8"/>
      <c r="C14" s="8"/>
      <c r="D14" s="8"/>
      <c r="E14" s="4"/>
      <c r="F14" s="4"/>
      <c r="G14" s="4"/>
      <c r="H14" s="4"/>
    </row>
    <row r="15" spans="1:8">
      <c r="A15" s="8"/>
      <c r="B15" s="8"/>
      <c r="C15" s="8"/>
      <c r="D15" s="8"/>
      <c r="E15" s="4"/>
      <c r="F15" s="4"/>
      <c r="G15" s="4"/>
      <c r="H15" s="4"/>
    </row>
    <row r="17" spans="1:8">
      <c r="A17" s="17" t="s">
        <v>522</v>
      </c>
      <c r="B17" s="17"/>
      <c r="C17" s="17"/>
      <c r="D17" s="17"/>
      <c r="E17" s="17"/>
      <c r="F17" s="17"/>
      <c r="G17" s="17"/>
      <c r="H17" s="17"/>
    </row>
    <row r="18" spans="1:8">
      <c r="A18" s="17"/>
      <c r="B18" s="17"/>
      <c r="C18" s="17"/>
      <c r="D18" s="17"/>
      <c r="E18" s="17"/>
      <c r="F18" s="17"/>
      <c r="G18" s="17"/>
      <c r="H18" s="17"/>
    </row>
    <row r="19" spans="1:8">
      <c r="A19" s="17" t="s">
        <v>499</v>
      </c>
      <c r="B19" s="17"/>
      <c r="C19" s="17"/>
      <c r="D19" s="17"/>
      <c r="E19" s="17"/>
      <c r="F19" s="17"/>
      <c r="G19" s="17"/>
      <c r="H19" s="17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17"/>
      <c r="B25" s="17"/>
      <c r="C25" s="17"/>
      <c r="D25" s="17"/>
      <c r="E25" s="17"/>
      <c r="F25" s="17"/>
      <c r="G25" s="17"/>
      <c r="H25" s="17"/>
    </row>
  </sheetData>
  <mergeCells count="8">
    <mergeCell ref="A25:H25"/>
    <mergeCell ref="A17:H17"/>
    <mergeCell ref="A18:H18"/>
    <mergeCell ref="A19:H19"/>
    <mergeCell ref="A10:A11"/>
    <mergeCell ref="B10:B11"/>
    <mergeCell ref="C10:C11"/>
    <mergeCell ref="D10:D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nd2</vt:lpstr>
      <vt:lpstr>ND2 CO23</vt:lpstr>
      <vt:lpstr>nd2 co19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Ibukun Olumodeji</cp:lastModifiedBy>
  <cp:lastPrinted>2026-06-23T12:34:40Z</cp:lastPrinted>
  <dcterms:created xsi:type="dcterms:W3CDTF">2026-05-28T10:00:04Z</dcterms:created>
  <dcterms:modified xsi:type="dcterms:W3CDTF">2026-06-29T18:33:29Z</dcterms:modified>
</cp:coreProperties>
</file>